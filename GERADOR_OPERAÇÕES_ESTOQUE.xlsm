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185e3c90f4f052e8/Trampo/Projetos/Cinnamon/Future Flow/CNAB/Gerador de CNAB/Modulo Certo/"/>
    </mc:Choice>
  </mc:AlternateContent>
  <xr:revisionPtr revIDLastSave="94128" documentId="8_{F2013244-4FEB-43BF-AEB2-BFC13F9C4DD3}" xr6:coauthVersionLast="47" xr6:coauthVersionMax="47" xr10:uidLastSave="{A81AAD65-AEEF-46C0-AEE0-06EB6BEF2027}"/>
  <bookViews>
    <workbookView xWindow="-108" yWindow="-108" windowWidth="23256" windowHeight="12456" activeTab="2" xr2:uid="{00000000-000D-0000-FFFF-FFFF00000000}"/>
  </bookViews>
  <sheets>
    <sheet name="MENU" sheetId="8" r:id="rId1"/>
    <sheet name="Plan5" sheetId="5" state="hidden" r:id="rId2"/>
    <sheet name="BASE" sheetId="15" r:id="rId3"/>
    <sheet name="ATIVOS" sheetId="17" r:id="rId4"/>
    <sheet name="DESPESA FINANCEIRA" sheetId="18" r:id="rId5"/>
    <sheet name="CODIGO" sheetId="19" r:id="rId6"/>
  </sheets>
  <functionGroups builtInGroupCount="19"/>
  <definedNames>
    <definedName name="_xlnm._FilterDatabase" localSheetId="3" hidden="1">ATIVOS!$B$2:$I$207</definedName>
    <definedName name="_xlnm._FilterDatabase" localSheetId="2" hidden="1">BASE!$A$1:$Q$1</definedName>
    <definedName name="_xleta.SUM" hidden="1" xlm="1">#NAME?</definedName>
    <definedName name="_xlnm.Print_Area" localSheetId="3">ATIVOS!$A$1:$J$97</definedName>
    <definedName name="_xlnm.Print_Area" localSheetId="4">'DESPESA FINANCEIRA'!$A$1:$G$16</definedName>
    <definedName name="CDO">MENU!$C$4</definedName>
    <definedName name="DTL">MENU!$C$3</definedName>
    <definedName name="OCORRENCIA">MENU!$C$5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15" l="1"/>
  <c r="I3" i="15"/>
  <c r="I4" i="15"/>
  <c r="I5" i="15"/>
  <c r="I6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I58" i="15"/>
  <c r="I59" i="15"/>
  <c r="I60" i="15"/>
  <c r="F18" i="18"/>
  <c r="F17" i="18"/>
  <c r="F3" i="8"/>
  <c r="F14" i="18"/>
  <c r="F4" i="8"/>
  <c r="F13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6" i="18"/>
  <c r="F15" i="18"/>
  <c r="F12" i="18"/>
  <c r="F11" i="18"/>
  <c r="F10" i="18"/>
  <c r="F9" i="18"/>
  <c r="F8" i="18"/>
  <c r="F7" i="18"/>
  <c r="F6" i="18"/>
  <c r="F5" i="18"/>
  <c r="F4" i="18"/>
  <c r="F5" i="8" a="1"/>
  <c r="F6" i="8" l="1"/>
  <c r="E2" i="18"/>
  <c r="F5" i="8"/>
  <c r="F7" i="8" a="1"/>
  <c r="F7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<sst xmlns="http://schemas.openxmlformats.org/spreadsheetml/2006/main" count="3717" uniqueCount="858">
  <si>
    <t>Cedente</t>
  </si>
  <si>
    <t>30821- TECELAGEM PARIS LTDA</t>
  </si>
  <si>
    <t>16- PRIOR PACK IND E COM LTDA</t>
  </si>
  <si>
    <t>30860- FIXACORTE IND E COM DE TECIDOS LTDA</t>
  </si>
  <si>
    <t>3044304- TAIF INTERNACIONAL IND COM DE ROUPAS LTD</t>
  </si>
  <si>
    <t>3044313- COCONUT REPUBLIC IND COM DE ROUPAS LTDA</t>
  </si>
  <si>
    <t>30150- ARTIV COMERCIO DE ROUPAS LTDA</t>
  </si>
  <si>
    <t>546- Aquecedor Solar Solmatic Ltda</t>
  </si>
  <si>
    <t>04.540.742/0001-60</t>
  </si>
  <si>
    <t>74.247.644/0001-15</t>
  </si>
  <si>
    <t>07.742.347/0001-59</t>
  </si>
  <si>
    <t>07.087.478/0001-40</t>
  </si>
  <si>
    <t>07.080.684/0001-28</t>
  </si>
  <si>
    <t>00.248.684/0001-45</t>
  </si>
  <si>
    <t>10.239.968/0001-29</t>
  </si>
  <si>
    <t>SEU_NUMERO</t>
  </si>
  <si>
    <t>DT_VENCIMENTO</t>
  </si>
  <si>
    <t>DT. LIQUIDAÇÃO:</t>
  </si>
  <si>
    <t>NU_DOCUMENTO</t>
  </si>
  <si>
    <t>DT_EMISSAO_TITULO</t>
  </si>
  <si>
    <t>COOBRIGACAO (1- Com coobrigação, 2- Sem Coobrigação)</t>
  </si>
  <si>
    <t>IDENTIFICACAO_CPF_CNPJ_CEDENTE 01 - Pessoa Física, 02 - Pessoa Jurídica)</t>
  </si>
  <si>
    <t>CNPJ CEDENTE - SOMENTE NÚMEROS</t>
  </si>
  <si>
    <t>VL_NOMINAL - VIRGULA NA CASA DECIMAL</t>
  </si>
  <si>
    <t>NU_CPF_CNPJ_SACADO - SPMENTE NÚMEROS</t>
  </si>
  <si>
    <t>VL_PRESENTE -  VIRGULA NA CASA DECIMAL</t>
  </si>
  <si>
    <t>ENDEREÇO - NÃO OBRIGATÓRIO</t>
  </si>
  <si>
    <t>CEP - NÃO OBRIGATÓRIO</t>
  </si>
  <si>
    <t>TP_TITULO - NÚMERO DO CADASTRO DO RECEBÍVEL CUSTÓDIA</t>
  </si>
  <si>
    <t>NFE - NÃO OBRIGATÓRIO</t>
  </si>
  <si>
    <t>IDENTIFICACAO_CPF_CNPJ_SACADO - 01 Pessoa Física, 02 - Pessoa Jurídica)</t>
  </si>
  <si>
    <t>VALOR PAGO TÍTULO (POS 83-92) - MÁX 10 CARACTERES (informar 0 ou o valor de liquidação parcial)</t>
  </si>
  <si>
    <t>NOME CEDENTE  NAO PODE POSSUIR CARACTERES ESPECIAIS</t>
  </si>
  <si>
    <t>NM_SACADO  NAO PODE POSSUIR CARACTERES ESPECIAIS</t>
  </si>
  <si>
    <t>TIPO DE JUROS</t>
  </si>
  <si>
    <t>TAXA DE JUROS</t>
  </si>
  <si>
    <t>CNAB</t>
  </si>
  <si>
    <t>01</t>
  </si>
  <si>
    <t>INFORMAÇÕES TERMO DE CESSÃO</t>
  </si>
  <si>
    <t>Preço de Aquisição</t>
  </si>
  <si>
    <t>Valor Total Recebíveis</t>
  </si>
  <si>
    <t>Valor Total Recebíveis Extenso</t>
  </si>
  <si>
    <t>Preço de Aquisição Extenso</t>
  </si>
  <si>
    <t>CODIGO ORIGINADOR (não mexer)</t>
  </si>
  <si>
    <t>Ocorrencia (não mexer)</t>
  </si>
  <si>
    <t>Data Extenso</t>
  </si>
  <si>
    <t>Título de Crédito</t>
  </si>
  <si>
    <t>Vencimento</t>
  </si>
  <si>
    <t>57010662001212</t>
  </si>
  <si>
    <t>VALEO SISTEMAS AUTOMOTIVOS LTDA</t>
  </si>
  <si>
    <t>CNPJ Sacado</t>
  </si>
  <si>
    <t>Valor da Duplicata</t>
  </si>
  <si>
    <t>Código NF</t>
  </si>
  <si>
    <t>02455462000129</t>
  </si>
  <si>
    <t>Duplicata</t>
  </si>
  <si>
    <t>57010662000160</t>
  </si>
  <si>
    <t>PROTURBO USINAGEM DE PRECISAO LTDA</t>
  </si>
  <si>
    <t>61881058000186</t>
  </si>
  <si>
    <t>BORGWARNER BRASIL LTDA</t>
  </si>
  <si>
    <t>Sacado</t>
  </si>
  <si>
    <t>Data da Operação</t>
  </si>
  <si>
    <t>Status</t>
  </si>
  <si>
    <t>Nota Promissória</t>
  </si>
  <si>
    <t>N/A</t>
  </si>
  <si>
    <t>Pago</t>
  </si>
  <si>
    <t>A Pagar</t>
  </si>
  <si>
    <t>Operação</t>
  </si>
  <si>
    <t>Data</t>
  </si>
  <si>
    <t>Valor Aquisição</t>
  </si>
  <si>
    <t>Valor recebíveis</t>
  </si>
  <si>
    <t>TOTAL DESPESA FINANCEIRA - PROTURBO</t>
  </si>
  <si>
    <t xml:space="preserve"> </t>
  </si>
  <si>
    <t>154132</t>
  </si>
  <si>
    <t>154133</t>
  </si>
  <si>
    <t>154134</t>
  </si>
  <si>
    <t>154164</t>
  </si>
  <si>
    <t>154179</t>
  </si>
  <si>
    <t>154180</t>
  </si>
  <si>
    <t>154216</t>
  </si>
  <si>
    <t>154260</t>
  </si>
  <si>
    <t>154263</t>
  </si>
  <si>
    <t>154264</t>
  </si>
  <si>
    <t>154325</t>
  </si>
  <si>
    <t>154342</t>
  </si>
  <si>
    <t>154343</t>
  </si>
  <si>
    <t>154344</t>
  </si>
  <si>
    <t>154345</t>
  </si>
  <si>
    <t>154346</t>
  </si>
  <si>
    <t>154347</t>
  </si>
  <si>
    <t>154348</t>
  </si>
  <si>
    <t>154349</t>
  </si>
  <si>
    <t>154350</t>
  </si>
  <si>
    <t>154358</t>
  </si>
  <si>
    <t>154392</t>
  </si>
  <si>
    <t>154435</t>
  </si>
  <si>
    <t>154440</t>
  </si>
  <si>
    <t>154441</t>
  </si>
  <si>
    <t>154442</t>
  </si>
  <si>
    <t>154474</t>
  </si>
  <si>
    <t>154478</t>
  </si>
  <si>
    <t>154479</t>
  </si>
  <si>
    <t>154481</t>
  </si>
  <si>
    <t>154501</t>
  </si>
  <si>
    <t>154522</t>
  </si>
  <si>
    <t>154523</t>
  </si>
  <si>
    <t>154527</t>
  </si>
  <si>
    <t>154549</t>
  </si>
  <si>
    <t>154581</t>
  </si>
  <si>
    <t>Nº NF</t>
  </si>
  <si>
    <t>Valor Duplicata</t>
  </si>
  <si>
    <t>155092</t>
  </si>
  <si>
    <t>59104273000129</t>
  </si>
  <si>
    <t>155093</t>
  </si>
  <si>
    <t>155095</t>
  </si>
  <si>
    <t>155128</t>
  </si>
  <si>
    <t>155130</t>
  </si>
  <si>
    <t>155132</t>
  </si>
  <si>
    <t>155222</t>
  </si>
  <si>
    <t>155223</t>
  </si>
  <si>
    <t>155224</t>
  </si>
  <si>
    <t>155248</t>
  </si>
  <si>
    <t>155249</t>
  </si>
  <si>
    <t>155250</t>
  </si>
  <si>
    <t>155251</t>
  </si>
  <si>
    <t>155252</t>
  </si>
  <si>
    <t>155253</t>
  </si>
  <si>
    <t>25983,30</t>
  </si>
  <si>
    <t>3567,84</t>
  </si>
  <si>
    <t>13961,89</t>
  </si>
  <si>
    <t>5950,43</t>
  </si>
  <si>
    <t>84124,42</t>
  </si>
  <si>
    <t>19689,72</t>
  </si>
  <si>
    <t>101057,80</t>
  </si>
  <si>
    <t>19506,42</t>
  </si>
  <si>
    <t>10112,92</t>
  </si>
  <si>
    <t>25004,33</t>
  </si>
  <si>
    <t>3964,27</t>
  </si>
  <si>
    <t>15398,75</t>
  </si>
  <si>
    <t>2275,15</t>
  </si>
  <si>
    <t>16253,09</t>
  </si>
  <si>
    <t>8609,90</t>
  </si>
  <si>
    <t>MERCEDESBENZ DO BRASIL LTDA</t>
  </si>
  <si>
    <t>Ativos</t>
  </si>
  <si>
    <t>Cessão Recebíveis</t>
  </si>
  <si>
    <t>153543</t>
  </si>
  <si>
    <t>153544</t>
  </si>
  <si>
    <t>153552</t>
  </si>
  <si>
    <t>153553</t>
  </si>
  <si>
    <t>153554</t>
  </si>
  <si>
    <t>153603</t>
  </si>
  <si>
    <t>153605</t>
  </si>
  <si>
    <t>153607</t>
  </si>
  <si>
    <t>153611</t>
  </si>
  <si>
    <t>153612</t>
  </si>
  <si>
    <t>153620</t>
  </si>
  <si>
    <t>153652</t>
  </si>
  <si>
    <t>153662</t>
  </si>
  <si>
    <t>153703</t>
  </si>
  <si>
    <t>153710</t>
  </si>
  <si>
    <t>153746</t>
  </si>
  <si>
    <t>153748</t>
  </si>
  <si>
    <t>153559</t>
  </si>
  <si>
    <t>153584</t>
  </si>
  <si>
    <t>153633</t>
  </si>
  <si>
    <t>153661</t>
  </si>
  <si>
    <t>153675</t>
  </si>
  <si>
    <t>153700</t>
  </si>
  <si>
    <t>153755</t>
  </si>
  <si>
    <t>153756</t>
  </si>
  <si>
    <t>153774</t>
  </si>
  <si>
    <t>153778</t>
  </si>
  <si>
    <t>153779</t>
  </si>
  <si>
    <t>153806</t>
  </si>
  <si>
    <t>153811</t>
  </si>
  <si>
    <t>153813</t>
  </si>
  <si>
    <t>153817</t>
  </si>
  <si>
    <t>153818</t>
  </si>
  <si>
    <t>153836</t>
  </si>
  <si>
    <t>153856</t>
  </si>
  <si>
    <t>153858</t>
  </si>
  <si>
    <t>153859</t>
  </si>
  <si>
    <t>153860</t>
  </si>
  <si>
    <t>153862</t>
  </si>
  <si>
    <t>153867</t>
  </si>
  <si>
    <t>153868</t>
  </si>
  <si>
    <t>153896</t>
  </si>
  <si>
    <t>154069</t>
  </si>
  <si>
    <t>154070</t>
  </si>
  <si>
    <t>154111</t>
  </si>
  <si>
    <t>154118</t>
  </si>
  <si>
    <t>154120</t>
  </si>
  <si>
    <t>154121</t>
  </si>
  <si>
    <t>153845</t>
  </si>
  <si>
    <t>153846</t>
  </si>
  <si>
    <t>154930</t>
  </si>
  <si>
    <t>154969</t>
  </si>
  <si>
    <t>155017</t>
  </si>
  <si>
    <t>22/06/2026</t>
  </si>
  <si>
    <t>154586</t>
  </si>
  <si>
    <t>154587</t>
  </si>
  <si>
    <t>154622</t>
  </si>
  <si>
    <t>154624</t>
  </si>
  <si>
    <t>154625</t>
  </si>
  <si>
    <t>154627</t>
  </si>
  <si>
    <t>154628</t>
  </si>
  <si>
    <t>154668</t>
  </si>
  <si>
    <t>154680</t>
  </si>
  <si>
    <t>154682</t>
  </si>
  <si>
    <t>154711</t>
  </si>
  <si>
    <t>154713</t>
  </si>
  <si>
    <t>154721</t>
  </si>
  <si>
    <t>154722</t>
  </si>
  <si>
    <t>154723</t>
  </si>
  <si>
    <t>154726</t>
  </si>
  <si>
    <t>154758</t>
  </si>
  <si>
    <t>154761</t>
  </si>
  <si>
    <t>154762</t>
  </si>
  <si>
    <t>154787</t>
  </si>
  <si>
    <t>154808</t>
  </si>
  <si>
    <t>154809</t>
  </si>
  <si>
    <t>154810</t>
  </si>
  <si>
    <t>154815</t>
  </si>
  <si>
    <t>154816</t>
  </si>
  <si>
    <t>154818</t>
  </si>
  <si>
    <t>154848</t>
  </si>
  <si>
    <t>154865</t>
  </si>
  <si>
    <t>154866</t>
  </si>
  <si>
    <t>154899</t>
  </si>
  <si>
    <t>154900</t>
  </si>
  <si>
    <t>154945</t>
  </si>
  <si>
    <t>154950</t>
  </si>
  <si>
    <t>154959</t>
  </si>
  <si>
    <t>154960</t>
  </si>
  <si>
    <t>154962</t>
  </si>
  <si>
    <t>154990</t>
  </si>
  <si>
    <t>154991</t>
  </si>
  <si>
    <t>154992</t>
  </si>
  <si>
    <t>154993</t>
  </si>
  <si>
    <t>154997</t>
  </si>
  <si>
    <t>155028</t>
  </si>
  <si>
    <t>155042</t>
  </si>
  <si>
    <t>155052</t>
  </si>
  <si>
    <t>155053</t>
  </si>
  <si>
    <t>155054</t>
  </si>
  <si>
    <t>155087</t>
  </si>
  <si>
    <t>155097</t>
  </si>
  <si>
    <t>80426,05</t>
  </si>
  <si>
    <t>16784,61</t>
  </si>
  <si>
    <t>25204,73</t>
  </si>
  <si>
    <t>27398,59</t>
  </si>
  <si>
    <t>13497,6</t>
  </si>
  <si>
    <t>12497,79</t>
  </si>
  <si>
    <t>27829,82</t>
  </si>
  <si>
    <t>25559,03</t>
  </si>
  <si>
    <t>19996,45</t>
  </si>
  <si>
    <t>68254,04</t>
  </si>
  <si>
    <t>43115,09</t>
  </si>
  <si>
    <t>9319,86</t>
  </si>
  <si>
    <t>23512,63</t>
  </si>
  <si>
    <t>54888,38</t>
  </si>
  <si>
    <t>12262,97</t>
  </si>
  <si>
    <t>1630,75</t>
  </si>
  <si>
    <t>4812,58</t>
  </si>
  <si>
    <t>74509,14</t>
  </si>
  <si>
    <t>37807,08</t>
  </si>
  <si>
    <t>61923,6</t>
  </si>
  <si>
    <t>17496,91</t>
  </si>
  <si>
    <t>95226,82</t>
  </si>
  <si>
    <t>2441,35</t>
  </si>
  <si>
    <t>55717,46</t>
  </si>
  <si>
    <t>50033,1</t>
  </si>
  <si>
    <t>49577,38</t>
  </si>
  <si>
    <t>15039,3</t>
  </si>
  <si>
    <t>94945,98</t>
  </si>
  <si>
    <t>41779,77</t>
  </si>
  <si>
    <t>2994,43</t>
  </si>
  <si>
    <t>41567,94</t>
  </si>
  <si>
    <t>99560,33</t>
  </si>
  <si>
    <t>3609,43</t>
  </si>
  <si>
    <t>9023,58</t>
  </si>
  <si>
    <t>128252,84</t>
  </si>
  <si>
    <t>13017,67</t>
  </si>
  <si>
    <t>9582,16</t>
  </si>
  <si>
    <t>6015,72</t>
  </si>
  <si>
    <t>4598,64</t>
  </si>
  <si>
    <t>6103,25</t>
  </si>
  <si>
    <t>22537,98</t>
  </si>
  <si>
    <t>91933,79</t>
  </si>
  <si>
    <t>2874,15</t>
  </si>
  <si>
    <t>23218,39</t>
  </si>
  <si>
    <t>18093,8</t>
  </si>
  <si>
    <t>w</t>
  </si>
  <si>
    <t>155133</t>
  </si>
  <si>
    <t>155138</t>
  </si>
  <si>
    <t>155161</t>
  </si>
  <si>
    <t>155236</t>
  </si>
  <si>
    <t>155237</t>
  </si>
  <si>
    <t>155320</t>
  </si>
  <si>
    <t>155321</t>
  </si>
  <si>
    <t>155322</t>
  </si>
  <si>
    <t>155323</t>
  </si>
  <si>
    <t>155329</t>
  </si>
  <si>
    <t>155330</t>
  </si>
  <si>
    <t>155332</t>
  </si>
  <si>
    <t>155339</t>
  </si>
  <si>
    <t>155340</t>
  </si>
  <si>
    <t>155376</t>
  </si>
  <si>
    <t>155381</t>
  </si>
  <si>
    <t>155382</t>
  </si>
  <si>
    <t>155387</t>
  </si>
  <si>
    <t>155388</t>
  </si>
  <si>
    <t>155389</t>
  </si>
  <si>
    <t>155420</t>
  </si>
  <si>
    <t>155427</t>
  </si>
  <si>
    <t>155428</t>
  </si>
  <si>
    <t>155430</t>
  </si>
  <si>
    <t>155431</t>
  </si>
  <si>
    <t>155468</t>
  </si>
  <si>
    <t>155472</t>
  </si>
  <si>
    <t>155501</t>
  </si>
  <si>
    <t>155502</t>
  </si>
  <si>
    <t>155504</t>
  </si>
  <si>
    <t>155510</t>
  </si>
  <si>
    <t>155511</t>
  </si>
  <si>
    <t>155512</t>
  </si>
  <si>
    <t>155514</t>
  </si>
  <si>
    <t>155518</t>
  </si>
  <si>
    <t>155522</t>
  </si>
  <si>
    <t>155523</t>
  </si>
  <si>
    <t>155563</t>
  </si>
  <si>
    <t>155568</t>
  </si>
  <si>
    <t>155572</t>
  </si>
  <si>
    <t>155576</t>
  </si>
  <si>
    <t>155577</t>
  </si>
  <si>
    <t>155609</t>
  </si>
  <si>
    <t>155611</t>
  </si>
  <si>
    <t>155612</t>
  </si>
  <si>
    <t>155613</t>
  </si>
  <si>
    <t>155659</t>
  </si>
  <si>
    <t>9685,70</t>
  </si>
  <si>
    <t>54216,34</t>
  </si>
  <si>
    <t>35820,75</t>
  </si>
  <si>
    <t>16996,99</t>
  </si>
  <si>
    <t>24525,96</t>
  </si>
  <si>
    <t>69235,72</t>
  </si>
  <si>
    <t>34617,86</t>
  </si>
  <si>
    <t>55448,57</t>
  </si>
  <si>
    <t>30516,81</t>
  </si>
  <si>
    <t>29956,63</t>
  </si>
  <si>
    <t>28548,02</t>
  </si>
  <si>
    <t>41146,83</t>
  </si>
  <si>
    <t>14588,70</t>
  </si>
  <si>
    <t>12262,98</t>
  </si>
  <si>
    <t>14989,51</t>
  </si>
  <si>
    <t>15039,30</t>
  </si>
  <si>
    <t>84784,46</t>
  </si>
  <si>
    <t>23965,30</t>
  </si>
  <si>
    <t>34756,72</t>
  </si>
  <si>
    <t>11497,97</t>
  </si>
  <si>
    <t>9810,38</t>
  </si>
  <si>
    <t>113215,83</t>
  </si>
  <si>
    <t>41128,76</t>
  </si>
  <si>
    <t>13497,61</t>
  </si>
  <si>
    <t>42422,51</t>
  </si>
  <si>
    <t>24995,57</t>
  </si>
  <si>
    <t>4905,19</t>
  </si>
  <si>
    <t>21885,01</t>
  </si>
  <si>
    <t>59100,16</t>
  </si>
  <si>
    <t>11109,14</t>
  </si>
  <si>
    <t>15206,09</t>
  </si>
  <si>
    <t>36611,64</t>
  </si>
  <si>
    <t>111736,04</t>
  </si>
  <si>
    <t>57052,80</t>
  </si>
  <si>
    <t>10791,42</t>
  </si>
  <si>
    <t>27825,29</t>
  </si>
  <si>
    <t>98718,04</t>
  </si>
  <si>
    <t>19250,30</t>
  </si>
  <si>
    <t>8220,77</t>
  </si>
  <si>
    <t>80019,56</t>
  </si>
  <si>
    <t>Despesa Financeira Proturbo</t>
  </si>
  <si>
    <t>155101</t>
  </si>
  <si>
    <t>155102</t>
  </si>
  <si>
    <t>155103</t>
  </si>
  <si>
    <t>155135</t>
  </si>
  <si>
    <t>155137</t>
  </si>
  <si>
    <t>155177</t>
  </si>
  <si>
    <t>155180</t>
  </si>
  <si>
    <t>155181</t>
  </si>
  <si>
    <t>155226</t>
  </si>
  <si>
    <t>155238</t>
  </si>
  <si>
    <t>155327</t>
  </si>
  <si>
    <t>155669</t>
  </si>
  <si>
    <t>10/08/2026</t>
  </si>
  <si>
    <t>155670</t>
  </si>
  <si>
    <t>155671</t>
  </si>
  <si>
    <t>155705</t>
  </si>
  <si>
    <t>155708</t>
  </si>
  <si>
    <t>155710</t>
  </si>
  <si>
    <t>155711</t>
  </si>
  <si>
    <t>155729</t>
  </si>
  <si>
    <t>25/08/2026</t>
  </si>
  <si>
    <t>155757</t>
  </si>
  <si>
    <t>155759</t>
  </si>
  <si>
    <t>155760</t>
  </si>
  <si>
    <t>155774</t>
  </si>
  <si>
    <t>155775</t>
  </si>
  <si>
    <t>155776</t>
  </si>
  <si>
    <t>155823</t>
  </si>
  <si>
    <t>155824</t>
  </si>
  <si>
    <t>155833</t>
  </si>
  <si>
    <t>155835</t>
  </si>
  <si>
    <t>155837</t>
  </si>
  <si>
    <t>155864</t>
  </si>
  <si>
    <t>155865</t>
  </si>
  <si>
    <t>155877</t>
  </si>
  <si>
    <t>155878</t>
  </si>
  <si>
    <t>155917</t>
  </si>
  <si>
    <t>155920</t>
  </si>
  <si>
    <t>155921</t>
  </si>
  <si>
    <t>155922</t>
  </si>
  <si>
    <t>155948</t>
  </si>
  <si>
    <t>155955</t>
  </si>
  <si>
    <t>155956</t>
  </si>
  <si>
    <t>155957</t>
  </si>
  <si>
    <t>155958</t>
  </si>
  <si>
    <t>156187</t>
  </si>
  <si>
    <t>156198</t>
  </si>
  <si>
    <t>156200</t>
  </si>
  <si>
    <t>156213</t>
  </si>
  <si>
    <t>156214</t>
  </si>
  <si>
    <t>156255</t>
  </si>
  <si>
    <t>156286</t>
  </si>
  <si>
    <t>156287</t>
  </si>
  <si>
    <t>156292</t>
  </si>
  <si>
    <t>156293</t>
  </si>
  <si>
    <t>156294</t>
  </si>
  <si>
    <t>156333</t>
  </si>
  <si>
    <t>156334</t>
  </si>
  <si>
    <t>156336</t>
  </si>
  <si>
    <t>156340</t>
  </si>
  <si>
    <t>156341</t>
  </si>
  <si>
    <t>156385</t>
  </si>
  <si>
    <t>156390</t>
  </si>
  <si>
    <t>156391</t>
  </si>
  <si>
    <t>156418</t>
  </si>
  <si>
    <t>25/07/2026</t>
  </si>
  <si>
    <t>27/07/2026</t>
  </si>
  <si>
    <t>28/07/2026</t>
  </si>
  <si>
    <t>29/07/2026</t>
  </si>
  <si>
    <t>30/07/2026</t>
  </si>
  <si>
    <t>11/08/2026</t>
  </si>
  <si>
    <t>12/08/2026</t>
  </si>
  <si>
    <t>14/08/2026</t>
  </si>
  <si>
    <t>15/08/2026</t>
  </si>
  <si>
    <t>16/08/2026</t>
  </si>
  <si>
    <t>17/08/2026</t>
  </si>
  <si>
    <t>18/08/2026</t>
  </si>
  <si>
    <t>19/08/2026</t>
  </si>
  <si>
    <t>21/08/2026</t>
  </si>
  <si>
    <t>22/08/2026</t>
  </si>
  <si>
    <t>23/08/2026</t>
  </si>
  <si>
    <t>24/08/2026</t>
  </si>
  <si>
    <t>32536,20</t>
  </si>
  <si>
    <t>65097,56</t>
  </si>
  <si>
    <t>47086,28</t>
  </si>
  <si>
    <t>9998,23</t>
  </si>
  <si>
    <t>4882,60</t>
  </si>
  <si>
    <t>18496,72</t>
  </si>
  <si>
    <t>77584,58</t>
  </si>
  <si>
    <t>21524,01</t>
  </si>
  <si>
    <t>12726,28</t>
  </si>
  <si>
    <t>40291,64</t>
  </si>
  <si>
    <t>23512,62</t>
  </si>
  <si>
    <t>58161,09</t>
  </si>
  <si>
    <t>19896,71</t>
  </si>
  <si>
    <t>89412,33</t>
  </si>
  <si>
    <t>15997,17</t>
  </si>
  <si>
    <t>93474,22</t>
  </si>
  <si>
    <t>17168,17</t>
  </si>
  <si>
    <t>15577,44</t>
  </si>
  <si>
    <t>46050,59</t>
  </si>
  <si>
    <t>49177,27</t>
  </si>
  <si>
    <t>30180,89</t>
  </si>
  <si>
    <t>6467,34</t>
  </si>
  <si>
    <t>19568,99</t>
  </si>
  <si>
    <t>107268,04</t>
  </si>
  <si>
    <t>61441,28</t>
  </si>
  <si>
    <t>44660,91</t>
  </si>
  <si>
    <t>12031,44</t>
  </si>
  <si>
    <t>37407,57</t>
  </si>
  <si>
    <t>46180,37</t>
  </si>
  <si>
    <t>14978,32</t>
  </si>
  <si>
    <t>4414,67</t>
  </si>
  <si>
    <t>34861,82</t>
  </si>
  <si>
    <t>22444,70</t>
  </si>
  <si>
    <t>64412,70</t>
  </si>
  <si>
    <t>18352,11</t>
  </si>
  <si>
    <t>8998,40</t>
  </si>
  <si>
    <t>75388,66</t>
  </si>
  <si>
    <t>35819,43</t>
  </si>
  <si>
    <t>7498,68</t>
  </si>
  <si>
    <t>25012,35</t>
  </si>
  <si>
    <t>22496,02</t>
  </si>
  <si>
    <t>42219,60</t>
  </si>
  <si>
    <t>156206</t>
  </si>
  <si>
    <t>31/07/2026</t>
  </si>
  <si>
    <t>45988045001800</t>
  </si>
  <si>
    <t>GARRETT MOTION IND AUT BRASIL LTDA</t>
  </si>
  <si>
    <t>02</t>
  </si>
  <si>
    <t>156269</t>
  </si>
  <si>
    <t>156270</t>
  </si>
  <si>
    <t>156271</t>
  </si>
  <si>
    <t/>
  </si>
  <si>
    <t>156325</t>
  </si>
  <si>
    <t>156326</t>
  </si>
  <si>
    <t>156332</t>
  </si>
  <si>
    <t>156351</t>
  </si>
  <si>
    <t>156387</t>
  </si>
  <si>
    <t>156414</t>
  </si>
  <si>
    <t>156415</t>
  </si>
  <si>
    <t>156416</t>
  </si>
  <si>
    <t>156429</t>
  </si>
  <si>
    <t>156457</t>
  </si>
  <si>
    <t>156458</t>
  </si>
  <si>
    <t>156459</t>
  </si>
  <si>
    <t>155771</t>
  </si>
  <si>
    <t>43201151000110</t>
  </si>
  <si>
    <t>CUMMINS BRASIL LTDA</t>
  </si>
  <si>
    <t>155772</t>
  </si>
  <si>
    <t>155826</t>
  </si>
  <si>
    <t>156422</t>
  </si>
  <si>
    <t>26/08/2026</t>
  </si>
  <si>
    <t>156424</t>
  </si>
  <si>
    <t>156427</t>
  </si>
  <si>
    <t>156462</t>
  </si>
  <si>
    <t>156479</t>
  </si>
  <si>
    <t>29/08/2026</t>
  </si>
  <si>
    <t>156514</t>
  </si>
  <si>
    <t>156516</t>
  </si>
  <si>
    <t>30/08/2026</t>
  </si>
  <si>
    <t>156519</t>
  </si>
  <si>
    <t>156522</t>
  </si>
  <si>
    <t>31/08/2026</t>
  </si>
  <si>
    <t>156523</t>
  </si>
  <si>
    <t>156548</t>
  </si>
  <si>
    <t>05/08/2026</t>
  </si>
  <si>
    <t>156549</t>
  </si>
  <si>
    <t>156550</t>
  </si>
  <si>
    <t>156564</t>
  </si>
  <si>
    <t>10/09/2026</t>
  </si>
  <si>
    <t>156565</t>
  </si>
  <si>
    <t>156566</t>
  </si>
  <si>
    <t>156567</t>
  </si>
  <si>
    <t>156568</t>
  </si>
  <si>
    <t>156569</t>
  </si>
  <si>
    <t>156570</t>
  </si>
  <si>
    <t>156571</t>
  </si>
  <si>
    <t>156572</t>
  </si>
  <si>
    <t>156575</t>
  </si>
  <si>
    <t>156577</t>
  </si>
  <si>
    <t>156586</t>
  </si>
  <si>
    <t>156587</t>
  </si>
  <si>
    <t>156593</t>
  </si>
  <si>
    <t>156619</t>
  </si>
  <si>
    <t>156635</t>
  </si>
  <si>
    <t>156637</t>
  </si>
  <si>
    <t>01/09/2026</t>
  </si>
  <si>
    <t>156643</t>
  </si>
  <si>
    <t>156644</t>
  </si>
  <si>
    <t>156645</t>
  </si>
  <si>
    <t>156652</t>
  </si>
  <si>
    <t>13012100</t>
  </si>
  <si>
    <t>156669</t>
  </si>
  <si>
    <t>09680900</t>
  </si>
  <si>
    <t>156670</t>
  </si>
  <si>
    <t>156671</t>
  </si>
  <si>
    <t>156673</t>
  </si>
  <si>
    <t>156675</t>
  </si>
  <si>
    <t>02/09/2026</t>
  </si>
  <si>
    <t>03/07/2026</t>
  </si>
  <si>
    <t>156679</t>
  </si>
  <si>
    <t>156682</t>
  </si>
  <si>
    <t>156705</t>
  </si>
  <si>
    <t>156706</t>
  </si>
  <si>
    <t>156707</t>
  </si>
  <si>
    <t>156711</t>
  </si>
  <si>
    <t>156715</t>
  </si>
  <si>
    <t>156717</t>
  </si>
  <si>
    <t>03/09/2026</t>
  </si>
  <si>
    <t>156726</t>
  </si>
  <si>
    <t>05/09/2026</t>
  </si>
  <si>
    <t>156727</t>
  </si>
  <si>
    <t>04/09/2026</t>
  </si>
  <si>
    <t>156751</t>
  </si>
  <si>
    <t>156753</t>
  </si>
  <si>
    <t>156754</t>
  </si>
  <si>
    <t>156755</t>
  </si>
  <si>
    <t>156758</t>
  </si>
  <si>
    <t>156761</t>
  </si>
  <si>
    <t>06/09/2026</t>
  </si>
  <si>
    <t>156764</t>
  </si>
  <si>
    <t>156765</t>
  </si>
  <si>
    <t>156769</t>
  </si>
  <si>
    <t>156810</t>
  </si>
  <si>
    <t>156811</t>
  </si>
  <si>
    <t>156812</t>
  </si>
  <si>
    <t>156818</t>
  </si>
  <si>
    <t>07/09/2026</t>
  </si>
  <si>
    <t>156819</t>
  </si>
  <si>
    <t>156845</t>
  </si>
  <si>
    <t>21320,11</t>
  </si>
  <si>
    <t>106881,56</t>
  </si>
  <si>
    <t>10660,05</t>
  </si>
  <si>
    <t>49991,14</t>
  </si>
  <si>
    <t>96224,76</t>
  </si>
  <si>
    <t>19620,76</t>
  </si>
  <si>
    <t>6376,75</t>
  </si>
  <si>
    <t>7357,79</t>
  </si>
  <si>
    <t>126455,85</t>
  </si>
  <si>
    <t>19496,54</t>
  </si>
  <si>
    <t>10176,19</t>
  </si>
  <si>
    <t>96020,30</t>
  </si>
  <si>
    <t>14093,63</t>
  </si>
  <si>
    <t>21232,05</t>
  </si>
  <si>
    <t>5308,01</t>
  </si>
  <si>
    <t>7294,35</t>
  </si>
  <si>
    <t>17616,16</t>
  </si>
  <si>
    <t>103858,14</t>
  </si>
  <si>
    <t>5395,71</t>
  </si>
  <si>
    <t>8405,51</t>
  </si>
  <si>
    <t>56090,77</t>
  </si>
  <si>
    <t>61464,78</t>
  </si>
  <si>
    <t>37397,64</t>
  </si>
  <si>
    <t>59403,11</t>
  </si>
  <si>
    <t>8381,87</t>
  </si>
  <si>
    <t>10250,62</t>
  </si>
  <si>
    <t>14715,57</t>
  </si>
  <si>
    <t>36191,10</t>
  </si>
  <si>
    <t>3615,68</t>
  </si>
  <si>
    <t>74987,02</t>
  </si>
  <si>
    <t>15516,12</t>
  </si>
  <si>
    <t>13120,80</t>
  </si>
  <si>
    <t>62926,50</t>
  </si>
  <si>
    <t>30078,60</t>
  </si>
  <si>
    <t>46987,41</t>
  </si>
  <si>
    <t>17910,38</t>
  </si>
  <si>
    <t>5949,69</t>
  </si>
  <si>
    <t>23547,68</t>
  </si>
  <si>
    <t>38271,58</t>
  </si>
  <si>
    <t>40060,05</t>
  </si>
  <si>
    <t>67354,27</t>
  </si>
  <si>
    <t>102785,40</t>
  </si>
  <si>
    <t>11280,01</t>
  </si>
  <si>
    <t>13621,14</t>
  </si>
  <si>
    <t>40636,44</t>
  </si>
  <si>
    <t>104143,20</t>
  </si>
  <si>
    <t>21459,47</t>
  </si>
  <si>
    <t>156680</t>
  </si>
  <si>
    <t>35260702455462000129550010001566801217265112</t>
  </si>
  <si>
    <t>156866</t>
  </si>
  <si>
    <t>08/09/2026</t>
  </si>
  <si>
    <t>09/07/2026</t>
  </si>
  <si>
    <t>35260702455462000129550010001568661632276579</t>
  </si>
  <si>
    <t>156867</t>
  </si>
  <si>
    <t>35260702455462000129550010001568671123618355</t>
  </si>
  <si>
    <t>156882</t>
  </si>
  <si>
    <t>09/09/2026</t>
  </si>
  <si>
    <t>10/07/2026</t>
  </si>
  <si>
    <t>35260702455462000129550010001568821270873283</t>
  </si>
  <si>
    <t>156883</t>
  </si>
  <si>
    <t>35260702455462000129550010001568831037058782</t>
  </si>
  <si>
    <t>156897</t>
  </si>
  <si>
    <t>11/09/2026</t>
  </si>
  <si>
    <t>13/07/2026</t>
  </si>
  <si>
    <t>35260702455462000129550010001568971109469320</t>
  </si>
  <si>
    <t>156899</t>
  </si>
  <si>
    <t>35260702455462000129550010001568991792743222</t>
  </si>
  <si>
    <t>156936</t>
  </si>
  <si>
    <t>12/09/2026</t>
  </si>
  <si>
    <t>35260702455462000129550010001569361644613296</t>
  </si>
  <si>
    <t>156938</t>
  </si>
  <si>
    <t>35260702455462000129550010001569381052276183</t>
  </si>
  <si>
    <t>156939</t>
  </si>
  <si>
    <t>35260702455462000129550010001569391188077252</t>
  </si>
  <si>
    <t>156940</t>
  </si>
  <si>
    <t>35260702455462000129550010001569401283531144</t>
  </si>
  <si>
    <t>156948</t>
  </si>
  <si>
    <t>14/07/2026</t>
  </si>
  <si>
    <t>35260702455462000129550010001569481329750909</t>
  </si>
  <si>
    <t>156949</t>
  </si>
  <si>
    <t>35260702455462000129550010001569491132819292</t>
  </si>
  <si>
    <t>156980</t>
  </si>
  <si>
    <t>35260702455462000129550010001569801431785683</t>
  </si>
  <si>
    <t>156981</t>
  </si>
  <si>
    <t>35260702455462000129550010001569811549854252</t>
  </si>
  <si>
    <t>156982</t>
  </si>
  <si>
    <t>35260702455462000129550010001569821689197766</t>
  </si>
  <si>
    <t>156983</t>
  </si>
  <si>
    <t>35260702455462000129550010001569831216537400</t>
  </si>
  <si>
    <t>156989</t>
  </si>
  <si>
    <t>13/09/2026</t>
  </si>
  <si>
    <t>15/07/2026</t>
  </si>
  <si>
    <t>35260702455462000129550010001569891659660752</t>
  </si>
  <si>
    <t>156991</t>
  </si>
  <si>
    <t>14/09/2026</t>
  </si>
  <si>
    <t>35260702455462000129550010001569911832696588</t>
  </si>
  <si>
    <t>156995</t>
  </si>
  <si>
    <t>15/09/2026</t>
  </si>
  <si>
    <t>35260702455462000129550010001569951005217156</t>
  </si>
  <si>
    <t>157042</t>
  </si>
  <si>
    <t>16/07/2026</t>
  </si>
  <si>
    <t>35260702455462000129550010001570421956131923</t>
  </si>
  <si>
    <t>157071</t>
  </si>
  <si>
    <t>35260702455462000129550010001570711912971162</t>
  </si>
  <si>
    <t>157072</t>
  </si>
  <si>
    <t>35260702455462000129550010001570721283181690</t>
  </si>
  <si>
    <t>157073</t>
  </si>
  <si>
    <t>35260702455462000129550010001570731371608749</t>
  </si>
  <si>
    <t>157075</t>
  </si>
  <si>
    <t>16/09/2026</t>
  </si>
  <si>
    <t>17/07/2026</t>
  </si>
  <si>
    <t>35260702455462000129550010001570751835464140</t>
  </si>
  <si>
    <t>157076</t>
  </si>
  <si>
    <t>35260702455462000129550010001570761432594795</t>
  </si>
  <si>
    <t>157077</t>
  </si>
  <si>
    <t>35260702455462000129550010001570771557864809</t>
  </si>
  <si>
    <t>157100</t>
  </si>
  <si>
    <t>35260702455462000129550010001571001558977844</t>
  </si>
  <si>
    <t>157105</t>
  </si>
  <si>
    <t>35260702455462000129550010001571051454506280</t>
  </si>
  <si>
    <t>157110</t>
  </si>
  <si>
    <t>35260702455462000129550010001571101489604513</t>
  </si>
  <si>
    <t>157128</t>
  </si>
  <si>
    <t>19/09/2026</t>
  </si>
  <si>
    <t>20/07/2026</t>
  </si>
  <si>
    <t>35260702455462000129550010001571281258608453</t>
  </si>
  <si>
    <t>157129</t>
  </si>
  <si>
    <t>18/09/2026</t>
  </si>
  <si>
    <t>35260702455462000129550010001571291231387887</t>
  </si>
  <si>
    <t>157161</t>
  </si>
  <si>
    <t>35260702455462000129550010001571611476829111</t>
  </si>
  <si>
    <t>157163</t>
  </si>
  <si>
    <t>35260702455462000129550010001571631962600978</t>
  </si>
  <si>
    <t>157168</t>
  </si>
  <si>
    <t>35260702455462000129550010001571681856926950</t>
  </si>
  <si>
    <t>157169</t>
  </si>
  <si>
    <t>35260702455462000129550010001571691479079065</t>
  </si>
  <si>
    <t>157173</t>
  </si>
  <si>
    <t>35260702455462000129550010001571731181851494</t>
  </si>
  <si>
    <t>157174</t>
  </si>
  <si>
    <t>21/07/2026</t>
  </si>
  <si>
    <t>35260702455462000129550010001571741058327585</t>
  </si>
  <si>
    <t>157176</t>
  </si>
  <si>
    <t>35260702455462000129550010001571761507448931</t>
  </si>
  <si>
    <t>157180</t>
  </si>
  <si>
    <t>35260702455462000129550010001571801493093905</t>
  </si>
  <si>
    <t>157211</t>
  </si>
  <si>
    <t>35260702455462000129550010001572111761712034</t>
  </si>
  <si>
    <t>157212</t>
  </si>
  <si>
    <t>35260702455462000129550010001572121548055754</t>
  </si>
  <si>
    <t>157213</t>
  </si>
  <si>
    <t>35260702455462000129550010001572131975061799</t>
  </si>
  <si>
    <t>157214</t>
  </si>
  <si>
    <t>35260702455462000129550010001572141175738120</t>
  </si>
  <si>
    <t>157218</t>
  </si>
  <si>
    <t>35260702455462000129550010001572181790216466</t>
  </si>
  <si>
    <t>157219</t>
  </si>
  <si>
    <t>35260702455462000129550010001572191797939665</t>
  </si>
  <si>
    <t>157223</t>
  </si>
  <si>
    <t>20/09/2026</t>
  </si>
  <si>
    <t>22/07/2026</t>
  </si>
  <si>
    <t>35260702455462000129550010001572231516918084</t>
  </si>
  <si>
    <t>157224</t>
  </si>
  <si>
    <t>35260702455462000129550010001572241019468169</t>
  </si>
  <si>
    <t>157227</t>
  </si>
  <si>
    <t>22/09/2026</t>
  </si>
  <si>
    <t>35260702455462000129550010001572271361988725</t>
  </si>
  <si>
    <t>157234</t>
  </si>
  <si>
    <t>35260702455462000129550010001572341457347563</t>
  </si>
  <si>
    <t>157248</t>
  </si>
  <si>
    <t>59104273002415</t>
  </si>
  <si>
    <t>13299600</t>
  </si>
  <si>
    <t>35260702455462000129550010001572481932820278</t>
  </si>
  <si>
    <t>157304</t>
  </si>
  <si>
    <t>21/09/2026</t>
  </si>
  <si>
    <t>23/07/2026</t>
  </si>
  <si>
    <t>35260702455462000129550010001573041423242250</t>
  </si>
  <si>
    <t>157336</t>
  </si>
  <si>
    <t>35260702455462000129550010001573361889229245</t>
  </si>
  <si>
    <t>157337</t>
  </si>
  <si>
    <t>35260702455462000129550010001573371399642488</t>
  </si>
  <si>
    <t>157338</t>
  </si>
  <si>
    <t>35260702455462000129550010001573381776597073</t>
  </si>
  <si>
    <t>157339</t>
  </si>
  <si>
    <t>35260702455462000129550010001573391660911860</t>
  </si>
  <si>
    <t>157346</t>
  </si>
  <si>
    <t>24/07/2026</t>
  </si>
  <si>
    <t>35260702455462000129550010001573461932119007</t>
  </si>
  <si>
    <t>157385</t>
  </si>
  <si>
    <t>35260702455462000129550010001573851245677882</t>
  </si>
  <si>
    <t>157386</t>
  </si>
  <si>
    <t>35260702455462000129550010001573861775094130</t>
  </si>
  <si>
    <t>109531,60</t>
  </si>
  <si>
    <t>52951,55</t>
  </si>
  <si>
    <t>188136,08</t>
  </si>
  <si>
    <t>55771,44</t>
  </si>
  <si>
    <t>7568,99</t>
  </si>
  <si>
    <t>161845,38</t>
  </si>
  <si>
    <t>13673,16</t>
  </si>
  <si>
    <t>12407,79</t>
  </si>
  <si>
    <t>4715,29</t>
  </si>
  <si>
    <t>59114,85</t>
  </si>
  <si>
    <t>9422,25</t>
  </si>
  <si>
    <t>38634,92</t>
  </si>
  <si>
    <t>138807,45</t>
  </si>
  <si>
    <t>8217,80</t>
  </si>
  <si>
    <t>103903,65</t>
  </si>
  <si>
    <t>20261,12</t>
  </si>
  <si>
    <t>62454,70</t>
  </si>
  <si>
    <t>25133,79</t>
  </si>
  <si>
    <t>30302,30</t>
  </si>
  <si>
    <t>116607,25</t>
  </si>
  <si>
    <t>4510,27</t>
  </si>
  <si>
    <t>6948,32</t>
  </si>
  <si>
    <t>95460,91</t>
  </si>
  <si>
    <t>42247,11</t>
  </si>
  <si>
    <t>7015,12</t>
  </si>
  <si>
    <t>48236,98</t>
  </si>
  <si>
    <t>69593,09</t>
  </si>
  <si>
    <t>1152,17</t>
  </si>
  <si>
    <t>8944,25</t>
  </si>
  <si>
    <t>23123,08</t>
  </si>
  <si>
    <t>142287,19</t>
  </si>
  <si>
    <t>11523,26</t>
  </si>
  <si>
    <t>992,63</t>
  </si>
  <si>
    <t>57568,40</t>
  </si>
  <si>
    <t>6401,31</t>
  </si>
  <si>
    <t>20018,76</t>
  </si>
  <si>
    <t>15132,82</t>
  </si>
  <si>
    <t>12166,77</t>
  </si>
  <si>
    <t>20599,60</t>
  </si>
  <si>
    <t>147887,86</t>
  </si>
  <si>
    <t>4135,74</t>
  </si>
  <si>
    <t>10730,43</t>
  </si>
  <si>
    <t>8460,73</t>
  </si>
  <si>
    <t>14889,35</t>
  </si>
  <si>
    <t>9696,74</t>
  </si>
  <si>
    <t>58673,12</t>
  </si>
  <si>
    <t>44782,21</t>
  </si>
  <si>
    <t>37356,79</t>
  </si>
  <si>
    <t>122625,83</t>
  </si>
  <si>
    <t>98747,73</t>
  </si>
  <si>
    <t>5365,21</t>
  </si>
  <si>
    <t>2067,87</t>
  </si>
  <si>
    <t>20787,76</t>
  </si>
  <si>
    <t>120144,28</t>
  </si>
  <si>
    <t>75673,72</t>
  </si>
  <si>
    <t>7639,44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</si>
</sst>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65" formatCode="&quot; &quot;#,##0.00&quot; &quot;;&quot;-&quot;#,##0.00&quot; &quot;;&quot; -&quot;00&quot; &quot;;&quot; &quot;@&quot; &quot;"/>
    <numFmt numFmtId="166" formatCode="00000000000000000"/>
  </numFmts>
  <fonts count="1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Liberation Sans"/>
    </font>
    <font>
      <b/>
      <sz val="11"/>
      <color theme="1"/>
      <name val="Calibri"/>
      <family val="2"/>
      <scheme val="minor"/>
    </font>
    <font>
      <sz val="10.5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3E8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BFFF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69">
    <xf numFmtId="0" fontId="0" fillId="0" borderId="0" xfId="0"/>
    <xf numFmtId="49" fontId="0" fillId="0" borderId="0" xfId="0" applyNumberFormat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1" xfId="0" applyNumberFormat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/>
    </xf>
    <xf numFmtId="4" fontId="0" fillId="0" borderId="1" xfId="0" applyNumberFormat="1" applyBorder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14" fontId="5" fillId="0" borderId="1" xfId="0" applyNumberFormat="1" applyFont="1" applyBorder="1" applyAlignment="1">
      <alignment horizontal="center" vertical="center"/>
    </xf>
    <xf numFmtId="14" fontId="0" fillId="0" borderId="0" xfId="0" applyNumberFormat="1"/>
    <xf numFmtId="49" fontId="6" fillId="0" borderId="3" xfId="0" applyNumberFormat="1" applyFont="1" applyBorder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14" fontId="4" fillId="2" borderId="0" xfId="0" applyNumberFormat="1" applyFont="1" applyFill="1" applyAlignment="1">
      <alignment horizontal="center" vertical="center" wrapText="1"/>
    </xf>
    <xf numFmtId="2" fontId="4" fillId="2" borderId="1" xfId="0" applyNumberFormat="1" applyFont="1" applyFill="1" applyBorder="1" applyAlignment="1">
      <alignment horizontal="center" vertical="center" wrapText="1"/>
    </xf>
    <xf numFmtId="2" fontId="4" fillId="2" borderId="0" xfId="0" applyNumberFormat="1" applyFont="1" applyFill="1" applyAlignment="1">
      <alignment horizontal="center" vertical="center" wrapText="1"/>
    </xf>
    <xf numFmtId="49" fontId="4" fillId="2" borderId="2" xfId="0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49" fontId="0" fillId="3" borderId="1" xfId="0" applyNumberFormat="1" applyFill="1" applyBorder="1" applyAlignment="1" applyProtection="1">
      <alignment horizontal="center" vertical="center"/>
      <protection locked="0"/>
    </xf>
    <xf numFmtId="49" fontId="0" fillId="3" borderId="1" xfId="0" applyNumberFormat="1" applyFill="1" applyBorder="1" applyAlignment="1">
      <alignment horizontal="center" vertical="center"/>
    </xf>
    <xf numFmtId="164" fontId="0" fillId="3" borderId="1" xfId="1" applyNumberFormat="1" applyFont="1" applyFill="1" applyBorder="1" applyAlignment="1">
      <alignment horizontal="center" vertical="center"/>
    </xf>
    <xf numFmtId="49" fontId="0" fillId="3" borderId="1" xfId="1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49" fontId="0" fillId="3" borderId="0" xfId="0" applyNumberFormat="1" applyFill="1" applyAlignment="1">
      <alignment horizontal="center" vertical="center"/>
    </xf>
    <xf numFmtId="166" fontId="0" fillId="3" borderId="1" xfId="0" applyNumberFormat="1" applyFill="1" applyBorder="1" applyAlignment="1" applyProtection="1">
      <alignment horizontal="center" vertical="center"/>
      <protection locked="0"/>
    </xf>
    <xf numFmtId="14" fontId="0" fillId="3" borderId="1" xfId="0" applyNumberFormat="1" applyFill="1" applyBorder="1" applyAlignment="1">
      <alignment horizontal="center" vertical="center"/>
    </xf>
    <xf numFmtId="2" fontId="0" fillId="3" borderId="1" xfId="1" applyNumberFormat="1" applyFont="1" applyFill="1" applyBorder="1" applyAlignment="1">
      <alignment horizontal="center" vertical="center"/>
    </xf>
    <xf numFmtId="166" fontId="0" fillId="3" borderId="0" xfId="0" applyNumberFormat="1" applyFill="1" applyAlignment="1">
      <alignment horizontal="center" vertical="center"/>
    </xf>
    <xf numFmtId="2" fontId="0" fillId="3" borderId="0" xfId="0" applyNumberFormat="1" applyFill="1" applyAlignment="1">
      <alignment horizontal="center" vertical="center"/>
    </xf>
    <xf numFmtId="14" fontId="0" fillId="3" borderId="0" xfId="0" applyNumberFormat="1" applyFill="1" applyAlignment="1">
      <alignment horizontal="center" vertical="center"/>
    </xf>
    <xf numFmtId="44" fontId="0" fillId="0" borderId="0" xfId="0" applyNumberFormat="1"/>
    <xf numFmtId="10" fontId="0" fillId="0" borderId="0" xfId="4" applyNumberFormat="1" applyFont="1"/>
    <xf numFmtId="49" fontId="0" fillId="0" borderId="0" xfId="3" applyNumberFormat="1" applyFont="1"/>
    <xf numFmtId="2" fontId="0" fillId="3" borderId="1" xfId="0" applyNumberFormat="1" applyFill="1" applyBorder="1" applyAlignment="1" applyProtection="1">
      <alignment horizontal="center" vertical="center"/>
      <protection locked="0"/>
    </xf>
    <xf numFmtId="2" fontId="0" fillId="3" borderId="0" xfId="1" applyNumberFormat="1" applyFont="1" applyFill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9" fontId="8" fillId="3" borderId="1" xfId="1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/>
    </xf>
    <xf numFmtId="0" fontId="0" fillId="4" borderId="0" xfId="0" applyFill="1"/>
    <xf numFmtId="49" fontId="0" fillId="4" borderId="0" xfId="0" applyNumberFormat="1" applyFill="1" applyAlignment="1">
      <alignment horizontal="center"/>
    </xf>
    <xf numFmtId="0" fontId="0" fillId="4" borderId="4" xfId="0" applyFill="1" applyBorder="1"/>
    <xf numFmtId="2" fontId="0" fillId="4" borderId="0" xfId="0" applyNumberFormat="1" applyFill="1"/>
    <xf numFmtId="2" fontId="0" fillId="4" borderId="0" xfId="0" applyNumberFormat="1" applyFill="1" applyAlignment="1">
      <alignment horizontal="center"/>
    </xf>
    <xf numFmtId="49" fontId="0" fillId="4" borderId="0" xfId="0" applyNumberFormat="1" applyFill="1"/>
    <xf numFmtId="165" fontId="0" fillId="4" borderId="0" xfId="0" applyNumberFormat="1" applyFill="1" applyAlignment="1">
      <alignment horizontal="center"/>
    </xf>
    <xf numFmtId="0" fontId="0" fillId="0" borderId="1" xfId="0" applyBorder="1"/>
    <xf numFmtId="0" fontId="7" fillId="0" borderId="1" xfId="0" applyFont="1" applyBorder="1" applyAlignment="1">
      <alignment horizontal="right"/>
    </xf>
    <xf numFmtId="49" fontId="0" fillId="0" borderId="1" xfId="0" applyNumberFormat="1" applyBorder="1" applyAlignment="1">
      <alignment horizontal="right"/>
    </xf>
    <xf numFmtId="2" fontId="0" fillId="0" borderId="1" xfId="0" applyNumberFormat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0" fontId="9" fillId="2" borderId="1" xfId="0" applyFont="1" applyFill="1" applyBorder="1" applyAlignment="1">
      <alignment horizontal="center"/>
    </xf>
    <xf numFmtId="49" fontId="9" fillId="2" borderId="1" xfId="0" applyNumberFormat="1" applyFont="1" applyFill="1" applyBorder="1" applyAlignment="1">
      <alignment horizontal="center"/>
    </xf>
    <xf numFmtId="14" fontId="9" fillId="2" borderId="1" xfId="0" applyNumberFormat="1" applyFont="1" applyFill="1" applyBorder="1" applyAlignment="1">
      <alignment horizontal="center"/>
    </xf>
    <xf numFmtId="19" fontId="0" fillId="4" borderId="0" xfId="0" applyNumberFormat="1" applyFill="1"/>
    <xf numFmtId="0" fontId="0" fillId="4" borderId="0" xfId="0" applyFill="1" applyAlignment="1">
      <alignment horizontal="center" vertical="center"/>
    </xf>
    <xf numFmtId="0" fontId="4" fillId="0" borderId="4" xfId="0" applyFont="1" applyBorder="1" applyAlignment="1">
      <alignment horizontal="center"/>
    </xf>
    <xf numFmtId="14" fontId="0" fillId="0" borderId="1" xfId="0" applyNumberFormat="1" applyBorder="1" applyAlignment="1">
      <alignment horizontal="right"/>
    </xf>
    <xf numFmtId="2" fontId="0" fillId="0" borderId="1" xfId="0" applyNumberFormat="1" applyBorder="1" applyAlignment="1">
      <alignment horizontal="center"/>
    </xf>
    <xf numFmtId="0" fontId="9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4" fontId="4" fillId="2" borderId="1" xfId="0" applyNumberFormat="1" applyFont="1" applyFill="1" applyBorder="1" applyAlignment="1">
      <alignment horizontal="center"/>
    </xf>
  </cellXfs>
  <cellStyles count="7">
    <cellStyle name="Moeda" xfId="3" builtinId="4"/>
    <cellStyle name="Moeda 2" xfId="5" xr:uid="{C5B5908D-BBFF-4748-A9B6-9AEEEE367D57}"/>
    <cellStyle name="Moeda 3" xfId="6" xr:uid="{313CD476-E40D-4D79-94ED-F60C68726C3A}"/>
    <cellStyle name="Normal" xfId="0" builtinId="0"/>
    <cellStyle name="Porcentagem" xfId="4" builtinId="5"/>
    <cellStyle name="Vírgula" xfId="1" builtinId="3"/>
    <cellStyle name="Vírgula 2" xfId="2" xr:uid="{8040A1F1-9D6A-4DBC-8F6F-175B23AD085E}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DDDD"/>
        </patternFill>
      </fill>
    </dxf>
    <dxf>
      <font>
        <color rgb="FF006C31"/>
      </font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BFFF2"/>
      <color rgb="FF006C31"/>
      <color rgb="FF93E8CC"/>
      <color rgb="FF33CD99"/>
      <color rgb="FFCDFF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23/09/relationships/Python" Target="pyth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0</xdr:row>
      <xdr:rowOff>323850</xdr:rowOff>
    </xdr:from>
    <xdr:to>
      <xdr:col>4</xdr:col>
      <xdr:colOff>228907</xdr:colOff>
      <xdr:row>0</xdr:row>
      <xdr:rowOff>847725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3B33A67A-8436-0A93-AE17-7562611F56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323850"/>
          <a:ext cx="4067482" cy="5238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8</xdr:row>
          <xdr:rowOff>22860</xdr:rowOff>
        </xdr:from>
        <xdr:to>
          <xdr:col>2</xdr:col>
          <xdr:colOff>594360</xdr:colOff>
          <xdr:row>10</xdr:row>
          <xdr:rowOff>152400</xdr:rowOff>
        </xdr:to>
        <xdr:sp macro="" textlink="">
          <xdr:nvSpPr>
            <xdr:cNvPr id="1025" name="Button 1" descr="SISTEMA DE OPERAÇÕE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SISTEMA DE OPERAÇÕES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314325</xdr:rowOff>
    </xdr:from>
    <xdr:to>
      <xdr:col>2</xdr:col>
      <xdr:colOff>1888496</xdr:colOff>
      <xdr:row>0</xdr:row>
      <xdr:rowOff>689230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54A75BE2-22F3-7305-B77F-A81E336A2E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314325"/>
          <a:ext cx="2910846" cy="374905"/>
        </a:xfrm>
        <a:prstGeom prst="rect">
          <a:avLst/>
        </a:prstGeom>
      </xdr:spPr>
    </xdr:pic>
    <xdr:clientData/>
  </xdr:twoCellAnchor>
  <xdr:twoCellAnchor>
    <xdr:from>
      <xdr:col>2</xdr:col>
      <xdr:colOff>1923458</xdr:colOff>
      <xdr:row>0</xdr:row>
      <xdr:rowOff>310893</xdr:rowOff>
    </xdr:from>
    <xdr:to>
      <xdr:col>6</xdr:col>
      <xdr:colOff>390761</xdr:colOff>
      <xdr:row>0</xdr:row>
      <xdr:rowOff>729993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3160D6C7-C070-19B8-311D-873C5FACFF54}"/>
            </a:ext>
          </a:extLst>
        </xdr:cNvPr>
        <xdr:cNvSpPr txBox="1"/>
      </xdr:nvSpPr>
      <xdr:spPr>
        <a:xfrm>
          <a:off x="3276008" y="310893"/>
          <a:ext cx="4296603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000"/>
            <a:t>LISTA</a:t>
          </a:r>
          <a:r>
            <a:rPr lang="pt-BR" sz="2000" baseline="0"/>
            <a:t> DA ATIVOS - ATRIVON FIDC</a:t>
          </a:r>
          <a:endParaRPr lang="pt-BR" sz="20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79863</xdr:colOff>
      <xdr:row>0</xdr:row>
      <xdr:rowOff>199292</xdr:rowOff>
    </xdr:from>
    <xdr:to>
      <xdr:col>3</xdr:col>
      <xdr:colOff>593584</xdr:colOff>
      <xdr:row>0</xdr:row>
      <xdr:rowOff>574197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B930DA7-46E9-4A5C-B6CB-6B9100B7FF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0363" y="199292"/>
          <a:ext cx="2902298" cy="374905"/>
        </a:xfrm>
        <a:prstGeom prst="rect">
          <a:avLst/>
        </a:prstGeom>
      </xdr:spPr>
    </xdr:pic>
    <xdr:clientData/>
  </xdr:twoCellAnchor>
  <xdr:twoCellAnchor>
    <xdr:from>
      <xdr:col>3</xdr:col>
      <xdr:colOff>842596</xdr:colOff>
      <xdr:row>0</xdr:row>
      <xdr:rowOff>117231</xdr:rowOff>
    </xdr:from>
    <xdr:to>
      <xdr:col>5</xdr:col>
      <xdr:colOff>2095500</xdr:colOff>
      <xdr:row>1</xdr:row>
      <xdr:rowOff>36636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54F27279-39BD-46F4-A6C2-3AE3B9F6E22B}"/>
            </a:ext>
          </a:extLst>
        </xdr:cNvPr>
        <xdr:cNvSpPr txBox="1"/>
      </xdr:nvSpPr>
      <xdr:spPr>
        <a:xfrm>
          <a:off x="3421673" y="117231"/>
          <a:ext cx="4154365" cy="6447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600" baseline="0"/>
            <a:t>DESPESAS FINANCEIRAS COMPENSÁVEIS ATRIVON FIDC</a:t>
          </a:r>
          <a:endParaRPr lang="pt-BR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5"/>
  <dimension ref="B1:M110"/>
  <sheetViews>
    <sheetView showGridLines="0" topLeftCell="C1" workbookViewId="0">
      <selection activeCell="K3" sqref="K3"/>
    </sheetView>
  </sheetViews>
  <sheetFormatPr defaultColWidth="9.109375" defaultRowHeight="14.4"/>
  <cols>
    <col min="1" max="1" width="3.5546875" style="45" customWidth="1"/>
    <col min="2" max="2" width="32.109375" style="45" bestFit="1" customWidth="1"/>
    <col min="3" max="3" width="24.33203125" style="45" bestFit="1" customWidth="1"/>
    <col min="4" max="4" width="1.88671875" style="45" customWidth="1"/>
    <col min="5" max="5" width="28.44140625" style="45" bestFit="1" customWidth="1"/>
    <col min="6" max="6" width="38.88671875" style="45" customWidth="1"/>
    <col min="7" max="7" width="2.6640625" style="45" customWidth="1"/>
    <col min="8" max="8" width="20.33203125" style="45" bestFit="1" customWidth="1"/>
    <col min="9" max="9" width="21.44140625" style="50" customWidth="1"/>
    <col min="10" max="10" width="20.33203125" style="50" bestFit="1" customWidth="1"/>
    <col min="11" max="11" width="20.33203125" style="45" bestFit="1" customWidth="1"/>
    <col min="12" max="12" width="19" style="45" customWidth="1"/>
    <col min="13" max="13" width="24.33203125" style="45" customWidth="1"/>
    <col min="14" max="16384" width="9.109375" style="45"/>
  </cols>
  <sheetData>
    <row r="1" spans="2:13" ht="85.5" customHeight="1">
      <c r="I1" s="45"/>
      <c r="J1" s="45"/>
    </row>
    <row r="2" spans="2:13">
      <c r="B2" s="66" t="s">
        <v>36</v>
      </c>
      <c r="C2" s="66"/>
      <c r="E2" s="66" t="s">
        <v>38</v>
      </c>
      <c r="F2" s="66"/>
      <c r="G2" s="45" t="s">
        <v>71</v>
      </c>
      <c r="H2" s="58" t="s">
        <v>46</v>
      </c>
      <c r="I2" s="58" t="s">
        <v>50</v>
      </c>
      <c r="J2" s="59" t="s">
        <v>109</v>
      </c>
      <c r="K2" s="60" t="s">
        <v>47</v>
      </c>
      <c r="L2" s="58" t="s">
        <v>108</v>
      </c>
    </row>
    <row r="3" spans="2:13">
      <c r="B3" s="52" t="s">
        <v>17</v>
      </c>
      <c r="C3" s="64">
        <v>46223</v>
      </c>
      <c r="E3" s="52" t="s">
        <v>45</v>
      </c>
      <c r="F3" s="42">
        <f>DTL</f>
        <v>46223</v>
      </c>
      <c r="G3" s="45" t="s">
        <v>71</v>
      </c>
      <c r="H3" s="7" t="s">
        <v>54</v>
      </c>
      <c r="I3" s="7" t="s">
        <v>48</v>
      </c>
      <c r="J3" s="7" t="s">
        <v>802</v>
      </c>
      <c r="K3" s="7" t="s">
        <v>578</v>
      </c>
      <c r="L3" s="4">
        <v>156680</v>
      </c>
    </row>
    <row r="4" spans="2:13">
      <c r="B4" s="52" t="s">
        <v>43</v>
      </c>
      <c r="C4" s="53">
        <v>15555601</v>
      </c>
      <c r="E4" s="52" t="s">
        <v>40</v>
      </c>
      <c r="F4" s="55">
        <f>SUM(J3:J100)</f>
        <v>0</v>
      </c>
      <c r="G4" s="45" t="s">
        <v>71</v>
      </c>
      <c r="H4" s="7" t="s">
        <v>54</v>
      </c>
      <c r="I4" s="7" t="s">
        <v>48</v>
      </c>
      <c r="J4" s="7" t="s">
        <v>803</v>
      </c>
      <c r="K4" s="7" t="s">
        <v>660</v>
      </c>
      <c r="L4" s="4">
        <v>156866</v>
      </c>
      <c r="M4" s="46"/>
    </row>
    <row r="5" spans="2:13">
      <c r="B5" s="52" t="s">
        <v>44</v>
      </c>
      <c r="C5" s="54" t="s">
        <v>37</v>
      </c>
      <c r="E5" s="52" t="s">
        <v>41</v>
      </c>
      <c r="F5" s="4" t="str" cm="1">
        <f t="array" ref="F5">ExtensoReal(F4)</f>
        <v>zero real</v>
      </c>
      <c r="G5" s="47" t="s">
        <v>71</v>
      </c>
      <c r="H5" s="7" t="s">
        <v>54</v>
      </c>
      <c r="I5" s="7" t="s">
        <v>48</v>
      </c>
      <c r="J5" s="7" t="s">
        <v>804</v>
      </c>
      <c r="K5" s="7" t="s">
        <v>660</v>
      </c>
      <c r="L5" s="4">
        <v>156867</v>
      </c>
      <c r="M5" s="46"/>
    </row>
    <row r="6" spans="2:13">
      <c r="B6" s="52" t="s">
        <v>142</v>
      </c>
      <c r="C6" s="54" t="s">
        <v>54</v>
      </c>
      <c r="E6" s="52" t="s">
        <v>39</v>
      </c>
      <c r="F6" s="55">
        <f>SUM(BASE!R2:R100)</f>
        <v>0</v>
      </c>
      <c r="G6" s="45" t="s">
        <v>71</v>
      </c>
      <c r="H6" s="7" t="s">
        <v>54</v>
      </c>
      <c r="I6" s="7" t="s">
        <v>48</v>
      </c>
      <c r="J6" s="7" t="s">
        <v>805</v>
      </c>
      <c r="K6" s="7" t="s">
        <v>666</v>
      </c>
      <c r="L6" s="4">
        <v>156882</v>
      </c>
      <c r="M6" s="46"/>
    </row>
    <row r="7" spans="2:13">
      <c r="B7" s="52" t="s">
        <v>66</v>
      </c>
      <c r="C7" s="54" t="s">
        <v>143</v>
      </c>
      <c r="E7" s="52" t="s">
        <v>42</v>
      </c>
      <c r="F7" s="4" t="str" cm="1">
        <f t="array" ref="F7">ExtensoReal(F6)</f>
        <v>zero real</v>
      </c>
      <c r="G7" s="45" t="s">
        <v>71</v>
      </c>
      <c r="H7" s="7" t="s">
        <v>54</v>
      </c>
      <c r="I7" s="7" t="s">
        <v>48</v>
      </c>
      <c r="J7" s="7" t="s">
        <v>806</v>
      </c>
      <c r="K7" s="7" t="s">
        <v>660</v>
      </c>
      <c r="L7" s="4">
        <v>156883</v>
      </c>
      <c r="M7" s="46"/>
    </row>
    <row r="8" spans="2:13">
      <c r="F8" s="48"/>
      <c r="G8" s="45" t="s">
        <v>71</v>
      </c>
      <c r="H8" s="7" t="s">
        <v>54</v>
      </c>
      <c r="I8" s="7" t="s">
        <v>48</v>
      </c>
      <c r="J8" s="7" t="s">
        <v>807</v>
      </c>
      <c r="K8" s="7" t="s">
        <v>672</v>
      </c>
      <c r="L8" s="4">
        <v>156897</v>
      </c>
      <c r="M8" s="46"/>
    </row>
    <row r="9" spans="2:13">
      <c r="F9" s="49"/>
      <c r="H9" s="7" t="s">
        <v>54</v>
      </c>
      <c r="I9" s="7" t="s">
        <v>48</v>
      </c>
      <c r="J9" s="7" t="s">
        <v>808</v>
      </c>
      <c r="K9" s="7" t="s">
        <v>672</v>
      </c>
      <c r="L9" s="4">
        <v>156899</v>
      </c>
      <c r="M9" s="46"/>
    </row>
    <row r="10" spans="2:13">
      <c r="H10" s="7" t="s">
        <v>54</v>
      </c>
      <c r="I10" s="7" t="s">
        <v>48</v>
      </c>
      <c r="J10" s="7" t="s">
        <v>809</v>
      </c>
      <c r="K10" s="7" t="s">
        <v>678</v>
      </c>
      <c r="L10" s="4">
        <v>156936</v>
      </c>
      <c r="M10" s="46"/>
    </row>
    <row r="11" spans="2:13">
      <c r="H11" s="7" t="s">
        <v>54</v>
      </c>
      <c r="I11" s="7" t="s">
        <v>111</v>
      </c>
      <c r="J11" s="7" t="s">
        <v>810</v>
      </c>
      <c r="K11" s="7" t="s">
        <v>457</v>
      </c>
      <c r="L11" s="4">
        <v>156938</v>
      </c>
      <c r="M11" s="46"/>
    </row>
    <row r="12" spans="2:13">
      <c r="H12" s="7" t="s">
        <v>54</v>
      </c>
      <c r="I12" s="7" t="s">
        <v>111</v>
      </c>
      <c r="J12" s="7" t="s">
        <v>811</v>
      </c>
      <c r="K12" s="7" t="s">
        <v>457</v>
      </c>
      <c r="L12" s="4">
        <v>156939</v>
      </c>
      <c r="M12" s="46"/>
    </row>
    <row r="13" spans="2:13">
      <c r="H13" s="7" t="s">
        <v>54</v>
      </c>
      <c r="I13" s="7" t="s">
        <v>111</v>
      </c>
      <c r="J13" s="7" t="s">
        <v>812</v>
      </c>
      <c r="K13" s="7" t="s">
        <v>457</v>
      </c>
      <c r="L13" s="4">
        <v>156940</v>
      </c>
      <c r="M13" s="46"/>
    </row>
    <row r="14" spans="2:13">
      <c r="H14" s="7" t="s">
        <v>54</v>
      </c>
      <c r="I14" s="7" t="s">
        <v>48</v>
      </c>
      <c r="J14" s="7" t="s">
        <v>813</v>
      </c>
      <c r="K14" s="7" t="s">
        <v>678</v>
      </c>
      <c r="L14" s="4">
        <v>156948</v>
      </c>
      <c r="M14" s="46"/>
    </row>
    <row r="15" spans="2:13">
      <c r="H15" s="7" t="s">
        <v>54</v>
      </c>
      <c r="I15" s="7" t="s">
        <v>48</v>
      </c>
      <c r="J15" s="7" t="s">
        <v>814</v>
      </c>
      <c r="K15" s="7" t="s">
        <v>678</v>
      </c>
      <c r="L15" s="4">
        <v>156949</v>
      </c>
      <c r="M15" s="46"/>
    </row>
    <row r="16" spans="2:13">
      <c r="H16" s="7" t="s">
        <v>54</v>
      </c>
      <c r="I16" s="7" t="s">
        <v>111</v>
      </c>
      <c r="J16" s="7" t="s">
        <v>635</v>
      </c>
      <c r="K16" s="7" t="s">
        <v>457</v>
      </c>
      <c r="L16" s="4">
        <v>156980</v>
      </c>
      <c r="M16" s="46"/>
    </row>
    <row r="17" spans="8:13">
      <c r="H17" s="7" t="s">
        <v>54</v>
      </c>
      <c r="I17" s="7" t="s">
        <v>111</v>
      </c>
      <c r="J17" s="7" t="s">
        <v>815</v>
      </c>
      <c r="K17" s="7" t="s">
        <v>457</v>
      </c>
      <c r="L17" s="4">
        <v>156981</v>
      </c>
      <c r="M17" s="46"/>
    </row>
    <row r="18" spans="8:13">
      <c r="H18" s="7" t="s">
        <v>54</v>
      </c>
      <c r="I18" s="7" t="s">
        <v>111</v>
      </c>
      <c r="J18" s="7" t="s">
        <v>816</v>
      </c>
      <c r="K18" s="7" t="s">
        <v>457</v>
      </c>
      <c r="L18" s="4">
        <v>156982</v>
      </c>
      <c r="M18" s="46"/>
    </row>
    <row r="19" spans="8:13">
      <c r="H19" s="7" t="s">
        <v>54</v>
      </c>
      <c r="I19" s="7" t="s">
        <v>111</v>
      </c>
      <c r="J19" s="7" t="s">
        <v>817</v>
      </c>
      <c r="K19" s="7" t="s">
        <v>457</v>
      </c>
      <c r="L19" s="4">
        <v>156983</v>
      </c>
      <c r="M19" s="46"/>
    </row>
    <row r="20" spans="8:13">
      <c r="H20" s="7" t="s">
        <v>54</v>
      </c>
      <c r="I20" s="7" t="s">
        <v>48</v>
      </c>
      <c r="J20" s="7" t="s">
        <v>818</v>
      </c>
      <c r="K20" s="7" t="s">
        <v>700</v>
      </c>
      <c r="L20" s="4">
        <v>156989</v>
      </c>
    </row>
    <row r="21" spans="8:13">
      <c r="H21" s="7" t="s">
        <v>54</v>
      </c>
      <c r="I21" s="7" t="s">
        <v>48</v>
      </c>
      <c r="J21" s="7" t="s">
        <v>819</v>
      </c>
      <c r="K21" s="7" t="s">
        <v>704</v>
      </c>
      <c r="L21" s="4">
        <v>156991</v>
      </c>
    </row>
    <row r="22" spans="8:13">
      <c r="H22" s="7" t="s">
        <v>54</v>
      </c>
      <c r="I22" s="7" t="s">
        <v>48</v>
      </c>
      <c r="J22" s="7" t="s">
        <v>820</v>
      </c>
      <c r="K22" s="7" t="s">
        <v>707</v>
      </c>
      <c r="L22" s="4">
        <v>156995</v>
      </c>
    </row>
    <row r="23" spans="8:13">
      <c r="H23" s="7" t="s">
        <v>54</v>
      </c>
      <c r="I23" s="7" t="s">
        <v>48</v>
      </c>
      <c r="J23" s="7" t="s">
        <v>821</v>
      </c>
      <c r="K23" s="7" t="s">
        <v>704</v>
      </c>
      <c r="L23" s="4">
        <v>157042</v>
      </c>
    </row>
    <row r="24" spans="8:13">
      <c r="H24" s="7" t="s">
        <v>54</v>
      </c>
      <c r="I24" s="7" t="s">
        <v>111</v>
      </c>
      <c r="J24" s="7" t="s">
        <v>822</v>
      </c>
      <c r="K24" s="7" t="s">
        <v>457</v>
      </c>
      <c r="L24" s="4">
        <v>157071</v>
      </c>
    </row>
    <row r="25" spans="8:13">
      <c r="H25" s="7" t="s">
        <v>54</v>
      </c>
      <c r="I25" s="7" t="s">
        <v>111</v>
      </c>
      <c r="J25" s="7" t="s">
        <v>823</v>
      </c>
      <c r="K25" s="7" t="s">
        <v>457</v>
      </c>
      <c r="L25" s="4">
        <v>157072</v>
      </c>
    </row>
    <row r="26" spans="8:13">
      <c r="H26" s="7" t="s">
        <v>54</v>
      </c>
      <c r="I26" s="7" t="s">
        <v>111</v>
      </c>
      <c r="J26" s="7" t="s">
        <v>824</v>
      </c>
      <c r="K26" s="7" t="s">
        <v>457</v>
      </c>
      <c r="L26" s="4">
        <v>157073</v>
      </c>
    </row>
    <row r="27" spans="8:13">
      <c r="H27" s="7" t="s">
        <v>54</v>
      </c>
      <c r="I27" s="7" t="s">
        <v>48</v>
      </c>
      <c r="J27" s="7" t="s">
        <v>825</v>
      </c>
      <c r="K27" s="7" t="s">
        <v>719</v>
      </c>
      <c r="L27" s="4">
        <v>157075</v>
      </c>
    </row>
    <row r="28" spans="8:13">
      <c r="H28" s="7" t="s">
        <v>54</v>
      </c>
      <c r="I28" s="7" t="s">
        <v>48</v>
      </c>
      <c r="J28" s="7" t="s">
        <v>826</v>
      </c>
      <c r="K28" s="7" t="s">
        <v>719</v>
      </c>
      <c r="L28" s="4">
        <v>157076</v>
      </c>
    </row>
    <row r="29" spans="8:13">
      <c r="H29" s="7" t="s">
        <v>54</v>
      </c>
      <c r="I29" s="7" t="s">
        <v>48</v>
      </c>
      <c r="J29" s="7" t="s">
        <v>827</v>
      </c>
      <c r="K29" s="7" t="s">
        <v>707</v>
      </c>
      <c r="L29" s="4">
        <v>157077</v>
      </c>
    </row>
    <row r="30" spans="8:13">
      <c r="H30" s="7" t="s">
        <v>54</v>
      </c>
      <c r="I30" s="7" t="s">
        <v>111</v>
      </c>
      <c r="J30" s="7" t="s">
        <v>828</v>
      </c>
      <c r="K30" s="7" t="s">
        <v>457</v>
      </c>
      <c r="L30" s="4">
        <v>157100</v>
      </c>
    </row>
    <row r="31" spans="8:13">
      <c r="H31" s="7" t="s">
        <v>54</v>
      </c>
      <c r="I31" s="7" t="s">
        <v>111</v>
      </c>
      <c r="J31" s="7" t="s">
        <v>829</v>
      </c>
      <c r="K31" s="7" t="s">
        <v>457</v>
      </c>
      <c r="L31" s="4">
        <v>157105</v>
      </c>
    </row>
    <row r="32" spans="8:13">
      <c r="H32" s="7" t="s">
        <v>54</v>
      </c>
      <c r="I32" s="7" t="s">
        <v>48</v>
      </c>
      <c r="J32" s="7" t="s">
        <v>830</v>
      </c>
      <c r="K32" s="7" t="s">
        <v>707</v>
      </c>
      <c r="L32" s="4">
        <v>157110</v>
      </c>
    </row>
    <row r="33" spans="8:12">
      <c r="H33" s="7" t="s">
        <v>54</v>
      </c>
      <c r="I33" s="7" t="s">
        <v>48</v>
      </c>
      <c r="J33" s="7" t="s">
        <v>831</v>
      </c>
      <c r="K33" s="7" t="s">
        <v>733</v>
      </c>
      <c r="L33" s="4">
        <v>157128</v>
      </c>
    </row>
    <row r="34" spans="8:12">
      <c r="H34" s="7" t="s">
        <v>54</v>
      </c>
      <c r="I34" s="7" t="s">
        <v>48</v>
      </c>
      <c r="J34" s="7" t="s">
        <v>832</v>
      </c>
      <c r="K34" s="7" t="s">
        <v>737</v>
      </c>
      <c r="L34" s="4">
        <v>157129</v>
      </c>
    </row>
    <row r="35" spans="8:12">
      <c r="H35" s="7" t="s">
        <v>54</v>
      </c>
      <c r="I35" s="7" t="s">
        <v>48</v>
      </c>
      <c r="J35" s="7" t="s">
        <v>833</v>
      </c>
      <c r="K35" s="7" t="s">
        <v>737</v>
      </c>
      <c r="L35" s="4">
        <v>157161</v>
      </c>
    </row>
    <row r="36" spans="8:12">
      <c r="H36" s="7" t="s">
        <v>54</v>
      </c>
      <c r="I36" s="7" t="s">
        <v>48</v>
      </c>
      <c r="J36" s="7" t="s">
        <v>834</v>
      </c>
      <c r="K36" s="7" t="s">
        <v>733</v>
      </c>
      <c r="L36" s="4">
        <v>157163</v>
      </c>
    </row>
    <row r="37" spans="8:12">
      <c r="H37" s="7" t="s">
        <v>54</v>
      </c>
      <c r="I37" s="7" t="s">
        <v>111</v>
      </c>
      <c r="J37" s="7" t="s">
        <v>835</v>
      </c>
      <c r="K37" s="7" t="s">
        <v>531</v>
      </c>
      <c r="L37" s="4">
        <v>157168</v>
      </c>
    </row>
    <row r="38" spans="8:12">
      <c r="H38" s="7" t="s">
        <v>54</v>
      </c>
      <c r="I38" s="7" t="s">
        <v>111</v>
      </c>
      <c r="J38" s="7" t="s">
        <v>836</v>
      </c>
      <c r="K38" s="7" t="s">
        <v>531</v>
      </c>
      <c r="L38" s="4">
        <v>157169</v>
      </c>
    </row>
    <row r="39" spans="8:12">
      <c r="H39" s="7" t="s">
        <v>54</v>
      </c>
      <c r="I39" s="7" t="s">
        <v>48</v>
      </c>
      <c r="J39" s="7" t="s">
        <v>837</v>
      </c>
      <c r="K39" s="7" t="s">
        <v>737</v>
      </c>
      <c r="L39" s="5">
        <v>157173</v>
      </c>
    </row>
    <row r="40" spans="8:12">
      <c r="H40" s="7" t="s">
        <v>54</v>
      </c>
      <c r="I40" s="7" t="s">
        <v>48</v>
      </c>
      <c r="J40" s="7" t="s">
        <v>838</v>
      </c>
      <c r="K40" s="7" t="s">
        <v>733</v>
      </c>
      <c r="L40" s="5">
        <v>157174</v>
      </c>
    </row>
    <row r="41" spans="8:12">
      <c r="H41" s="7" t="s">
        <v>54</v>
      </c>
      <c r="I41" s="7" t="s">
        <v>48</v>
      </c>
      <c r="J41" s="7" t="s">
        <v>839</v>
      </c>
      <c r="K41" s="7" t="s">
        <v>733</v>
      </c>
      <c r="L41" s="5">
        <v>157176</v>
      </c>
    </row>
    <row r="42" spans="8:12">
      <c r="H42" s="7" t="s">
        <v>54</v>
      </c>
      <c r="I42" s="7" t="s">
        <v>48</v>
      </c>
      <c r="J42" s="7" t="s">
        <v>840</v>
      </c>
      <c r="K42" s="7" t="s">
        <v>733</v>
      </c>
      <c r="L42" s="5">
        <v>157180</v>
      </c>
    </row>
    <row r="43" spans="8:12">
      <c r="H43" s="7" t="s">
        <v>54</v>
      </c>
      <c r="I43" s="7" t="s">
        <v>111</v>
      </c>
      <c r="J43" s="7" t="s">
        <v>841</v>
      </c>
      <c r="K43" s="7" t="s">
        <v>531</v>
      </c>
      <c r="L43" s="5">
        <v>157211</v>
      </c>
    </row>
    <row r="44" spans="8:12">
      <c r="H44" s="7" t="s">
        <v>54</v>
      </c>
      <c r="I44" s="7" t="s">
        <v>111</v>
      </c>
      <c r="J44" s="7" t="s">
        <v>842</v>
      </c>
      <c r="K44" s="7" t="s">
        <v>531</v>
      </c>
      <c r="L44" s="5">
        <v>157212</v>
      </c>
    </row>
    <row r="45" spans="8:12">
      <c r="H45" s="7" t="s">
        <v>54</v>
      </c>
      <c r="I45" s="7" t="s">
        <v>111</v>
      </c>
      <c r="J45" s="7" t="s">
        <v>843</v>
      </c>
      <c r="K45" s="7" t="s">
        <v>531</v>
      </c>
      <c r="L45" s="5">
        <v>157213</v>
      </c>
    </row>
    <row r="46" spans="8:12">
      <c r="H46" s="7" t="s">
        <v>54</v>
      </c>
      <c r="I46" s="7" t="s">
        <v>111</v>
      </c>
      <c r="J46" s="7" t="s">
        <v>844</v>
      </c>
      <c r="K46" s="7" t="s">
        <v>531</v>
      </c>
      <c r="L46" s="5">
        <v>157214</v>
      </c>
    </row>
    <row r="47" spans="8:12">
      <c r="H47" s="7" t="s">
        <v>54</v>
      </c>
      <c r="I47" s="7" t="s">
        <v>48</v>
      </c>
      <c r="J47" s="7" t="s">
        <v>830</v>
      </c>
      <c r="K47" s="7" t="s">
        <v>733</v>
      </c>
      <c r="L47" s="5">
        <v>157218</v>
      </c>
    </row>
    <row r="48" spans="8:12">
      <c r="H48" s="7" t="s">
        <v>54</v>
      </c>
      <c r="I48" s="7" t="s">
        <v>48</v>
      </c>
      <c r="J48" s="7" t="s">
        <v>845</v>
      </c>
      <c r="K48" s="7" t="s">
        <v>733</v>
      </c>
      <c r="L48" s="5">
        <v>157219</v>
      </c>
    </row>
    <row r="49" spans="8:12">
      <c r="H49" s="7" t="s">
        <v>54</v>
      </c>
      <c r="I49" s="7" t="s">
        <v>48</v>
      </c>
      <c r="J49" s="7" t="s">
        <v>838</v>
      </c>
      <c r="K49" s="7" t="s">
        <v>769</v>
      </c>
      <c r="L49" s="5">
        <v>157223</v>
      </c>
    </row>
    <row r="50" spans="8:12">
      <c r="H50" s="7" t="s">
        <v>54</v>
      </c>
      <c r="I50" s="7" t="s">
        <v>48</v>
      </c>
      <c r="J50" s="7" t="s">
        <v>846</v>
      </c>
      <c r="K50" s="7" t="s">
        <v>769</v>
      </c>
      <c r="L50" s="5">
        <v>157224</v>
      </c>
    </row>
    <row r="51" spans="8:12">
      <c r="H51" s="7" t="s">
        <v>54</v>
      </c>
      <c r="I51" s="7" t="s">
        <v>48</v>
      </c>
      <c r="J51" s="7" t="s">
        <v>847</v>
      </c>
      <c r="K51" s="2" t="s">
        <v>775</v>
      </c>
      <c r="L51" s="5">
        <v>157227</v>
      </c>
    </row>
    <row r="52" spans="8:12">
      <c r="H52" s="7" t="s">
        <v>54</v>
      </c>
      <c r="I52" s="7" t="s">
        <v>48</v>
      </c>
      <c r="J52" s="7" t="s">
        <v>848</v>
      </c>
      <c r="K52" s="2" t="s">
        <v>769</v>
      </c>
      <c r="L52" s="5">
        <v>157234</v>
      </c>
    </row>
    <row r="53" spans="8:12">
      <c r="H53" s="7" t="s">
        <v>54</v>
      </c>
      <c r="I53" s="7" t="s">
        <v>780</v>
      </c>
      <c r="J53" s="7" t="s">
        <v>849</v>
      </c>
      <c r="K53" s="2" t="s">
        <v>531</v>
      </c>
      <c r="L53" s="5">
        <v>157248</v>
      </c>
    </row>
    <row r="54" spans="8:12">
      <c r="H54" s="7" t="s">
        <v>54</v>
      </c>
      <c r="I54" s="7" t="s">
        <v>48</v>
      </c>
      <c r="J54" s="7" t="s">
        <v>850</v>
      </c>
      <c r="K54" s="2" t="s">
        <v>784</v>
      </c>
      <c r="L54" s="5">
        <v>157304</v>
      </c>
    </row>
    <row r="55" spans="8:12">
      <c r="H55" s="7" t="s">
        <v>54</v>
      </c>
      <c r="I55" s="7" t="s">
        <v>111</v>
      </c>
      <c r="J55" s="7" t="s">
        <v>851</v>
      </c>
      <c r="K55" s="2" t="s">
        <v>531</v>
      </c>
      <c r="L55" s="5">
        <v>157336</v>
      </c>
    </row>
    <row r="56" spans="8:12">
      <c r="H56" s="7" t="s">
        <v>54</v>
      </c>
      <c r="I56" s="7" t="s">
        <v>111</v>
      </c>
      <c r="J56" s="7" t="s">
        <v>852</v>
      </c>
      <c r="K56" s="2" t="s">
        <v>531</v>
      </c>
      <c r="L56" s="5">
        <v>157337</v>
      </c>
    </row>
    <row r="57" spans="8:12">
      <c r="H57" s="7" t="s">
        <v>54</v>
      </c>
      <c r="I57" s="7" t="s">
        <v>111</v>
      </c>
      <c r="J57" s="7" t="s">
        <v>853</v>
      </c>
      <c r="K57" s="2" t="s">
        <v>531</v>
      </c>
      <c r="L57" s="5">
        <v>157338</v>
      </c>
    </row>
    <row r="58" spans="8:12">
      <c r="H58" s="7" t="s">
        <v>54</v>
      </c>
      <c r="I58" s="7" t="s">
        <v>111</v>
      </c>
      <c r="J58" s="7" t="s">
        <v>854</v>
      </c>
      <c r="K58" s="2" t="s">
        <v>531</v>
      </c>
      <c r="L58" s="5">
        <v>157339</v>
      </c>
    </row>
    <row r="59" spans="8:12">
      <c r="H59" s="7" t="s">
        <v>54</v>
      </c>
      <c r="I59" s="7" t="s">
        <v>48</v>
      </c>
      <c r="J59" s="7" t="s">
        <v>855</v>
      </c>
      <c r="K59" s="2" t="s">
        <v>775</v>
      </c>
      <c r="L59" s="5">
        <v>157346</v>
      </c>
    </row>
    <row r="60" spans="8:12">
      <c r="H60" s="7" t="s">
        <v>54</v>
      </c>
      <c r="I60" s="7" t="s">
        <v>111</v>
      </c>
      <c r="J60" s="7" t="s">
        <v>856</v>
      </c>
      <c r="K60" s="2" t="s">
        <v>531</v>
      </c>
      <c r="L60" s="5">
        <v>157385</v>
      </c>
    </row>
    <row r="61" spans="8:12">
      <c r="H61" s="7" t="s">
        <v>54</v>
      </c>
      <c r="I61" s="7" t="s">
        <v>111</v>
      </c>
      <c r="J61" s="7" t="s">
        <v>857</v>
      </c>
      <c r="K61" s="2" t="s">
        <v>531</v>
      </c>
      <c r="L61" s="5">
        <v>157386</v>
      </c>
    </row>
    <row r="62" spans="8:12">
      <c r="H62" s="7"/>
      <c r="I62" s="7"/>
      <c r="J62" s="5"/>
      <c r="K62" s="2"/>
      <c r="L62" s="5"/>
    </row>
    <row r="63" spans="8:12">
      <c r="H63" s="7"/>
      <c r="I63" s="7"/>
      <c r="J63" s="5"/>
      <c r="K63" s="2"/>
      <c r="L63" s="5"/>
    </row>
    <row r="64" spans="8:12">
      <c r="H64" s="7"/>
      <c r="I64" s="7"/>
      <c r="J64" s="5"/>
      <c r="K64" s="2"/>
      <c r="L64" s="5"/>
    </row>
    <row r="65" spans="8:12">
      <c r="H65" s="7"/>
      <c r="I65" s="7"/>
      <c r="J65" s="5"/>
      <c r="K65" s="2"/>
      <c r="L65" s="5"/>
    </row>
    <row r="66" spans="8:12">
      <c r="H66" s="7"/>
      <c r="I66" s="7"/>
      <c r="J66" s="5"/>
      <c r="K66" s="2"/>
      <c r="L66" s="5"/>
    </row>
    <row r="67" spans="8:12">
      <c r="H67" s="7"/>
      <c r="I67" s="7"/>
      <c r="J67" s="5"/>
      <c r="K67" s="2"/>
      <c r="L67" s="5"/>
    </row>
    <row r="68" spans="8:12">
      <c r="H68" s="5"/>
      <c r="I68" s="7"/>
      <c r="J68" s="5"/>
      <c r="K68" s="2"/>
      <c r="L68" s="5"/>
    </row>
    <row r="69" spans="8:12">
      <c r="H69" s="5"/>
      <c r="I69" s="7"/>
      <c r="J69" s="5"/>
      <c r="K69" s="2"/>
      <c r="L69" s="5"/>
    </row>
    <row r="70" spans="8:12">
      <c r="H70"/>
      <c r="I70" s="56"/>
      <c r="J70" s="9"/>
      <c r="K70" s="57"/>
      <c r="L70" s="9"/>
    </row>
    <row r="71" spans="8:12">
      <c r="H71"/>
      <c r="I71" s="56"/>
      <c r="J71" s="9"/>
      <c r="K71" s="57"/>
      <c r="L71" s="9"/>
    </row>
    <row r="72" spans="8:12">
      <c r="H72"/>
      <c r="I72" s="56"/>
      <c r="J72" s="9"/>
      <c r="K72" s="57"/>
      <c r="L72" s="9"/>
    </row>
    <row r="73" spans="8:12">
      <c r="H73"/>
      <c r="I73" s="56"/>
      <c r="J73" s="9"/>
      <c r="K73" s="57"/>
      <c r="L73" s="9"/>
    </row>
    <row r="74" spans="8:12">
      <c r="H74"/>
      <c r="I74" s="56"/>
      <c r="J74" s="9"/>
      <c r="K74" s="57"/>
      <c r="L74" s="9"/>
    </row>
    <row r="75" spans="8:12">
      <c r="H75"/>
      <c r="I75" s="56"/>
      <c r="J75" s="9"/>
      <c r="K75" s="9"/>
      <c r="L75" s="9"/>
    </row>
    <row r="76" spans="8:12">
      <c r="H76"/>
      <c r="I76" s="56"/>
      <c r="J76" s="9"/>
      <c r="K76" s="9"/>
      <c r="L76" s="9"/>
    </row>
    <row r="77" spans="8:12">
      <c r="H77"/>
      <c r="I77" s="56"/>
      <c r="J77" s="9"/>
      <c r="K77" s="9"/>
      <c r="L77" s="9"/>
    </row>
    <row r="78" spans="8:12">
      <c r="H78"/>
      <c r="I78" s="56"/>
      <c r="J78" s="9"/>
      <c r="K78" s="9"/>
      <c r="L78" s="9"/>
    </row>
    <row r="79" spans="8:12">
      <c r="H79"/>
      <c r="I79" s="56"/>
      <c r="J79" s="9"/>
      <c r="K79" s="9"/>
      <c r="L79" s="9"/>
    </row>
    <row r="80" spans="8:12">
      <c r="H80"/>
      <c r="I80" s="56"/>
      <c r="J80" s="9"/>
      <c r="K80" s="9"/>
      <c r="L80" s="9"/>
    </row>
    <row r="81" spans="8:12">
      <c r="H81"/>
      <c r="I81" s="56"/>
      <c r="J81" s="9"/>
      <c r="K81" s="9"/>
      <c r="L81" s="9"/>
    </row>
    <row r="82" spans="8:12">
      <c r="H82"/>
      <c r="I82" s="56"/>
      <c r="J82" s="9"/>
      <c r="K82" s="9"/>
      <c r="L82" s="9"/>
    </row>
    <row r="83" spans="8:12">
      <c r="H83"/>
      <c r="I83" s="56"/>
      <c r="J83" s="9"/>
      <c r="K83" s="9"/>
      <c r="L83" s="9"/>
    </row>
    <row r="84" spans="8:12">
      <c r="H84"/>
      <c r="I84" s="56"/>
      <c r="J84" s="9"/>
      <c r="K84" s="9"/>
      <c r="L84" s="9"/>
    </row>
    <row r="85" spans="8:12">
      <c r="H85"/>
      <c r="I85" s="56"/>
      <c r="J85" s="9"/>
      <c r="K85" s="9"/>
      <c r="L85" s="9"/>
    </row>
    <row r="86" spans="8:12">
      <c r="H86"/>
      <c r="I86" s="56"/>
      <c r="J86" s="9"/>
      <c r="K86" s="9"/>
      <c r="L86" s="9"/>
    </row>
    <row r="87" spans="8:12">
      <c r="H87"/>
      <c r="I87" s="56"/>
      <c r="J87" s="9"/>
      <c r="K87" s="9"/>
      <c r="L87" s="9"/>
    </row>
    <row r="88" spans="8:12">
      <c r="H88"/>
      <c r="I88" s="56"/>
      <c r="J88" s="9"/>
      <c r="K88" s="9"/>
      <c r="L88" s="9"/>
    </row>
    <row r="89" spans="8:12">
      <c r="H89"/>
      <c r="I89" s="56"/>
      <c r="J89" s="9"/>
      <c r="K89" s="9"/>
      <c r="L89" s="9"/>
    </row>
    <row r="90" spans="8:12">
      <c r="H90"/>
      <c r="I90" s="56"/>
      <c r="J90" s="9"/>
      <c r="K90" s="9"/>
      <c r="L90" s="9"/>
    </row>
    <row r="91" spans="8:12">
      <c r="H91"/>
      <c r="I91" s="56"/>
      <c r="J91" s="9"/>
      <c r="K91" s="9"/>
      <c r="L91" s="9"/>
    </row>
    <row r="92" spans="8:12">
      <c r="H92"/>
      <c r="I92" s="56"/>
      <c r="J92" s="9"/>
      <c r="K92" s="9"/>
      <c r="L92" s="9"/>
    </row>
    <row r="93" spans="8:12">
      <c r="H93"/>
      <c r="I93" s="56"/>
      <c r="J93" s="9"/>
      <c r="K93" s="9"/>
      <c r="L93" s="9"/>
    </row>
    <row r="94" spans="8:12">
      <c r="H94"/>
      <c r="I94" s="56"/>
      <c r="J94" s="9"/>
      <c r="K94" s="9"/>
      <c r="L94" s="9"/>
    </row>
    <row r="95" spans="8:12">
      <c r="H95"/>
      <c r="I95" s="56"/>
      <c r="J95" s="9"/>
      <c r="K95" s="9"/>
      <c r="L95" s="9"/>
    </row>
    <row r="96" spans="8:12">
      <c r="H96"/>
      <c r="I96" s="56"/>
      <c r="J96" s="9"/>
      <c r="K96" s="9"/>
      <c r="L96" s="9"/>
    </row>
    <row r="97" spans="8:12">
      <c r="H97"/>
      <c r="I97" s="56"/>
      <c r="J97" s="9"/>
      <c r="K97" s="9"/>
      <c r="L97" s="9"/>
    </row>
    <row r="98" spans="8:12">
      <c r="H98"/>
      <c r="I98" s="56"/>
      <c r="J98" s="9"/>
      <c r="K98" s="9"/>
      <c r="L98" s="9"/>
    </row>
    <row r="99" spans="8:12">
      <c r="H99"/>
      <c r="I99" s="56"/>
      <c r="J99" s="9"/>
      <c r="K99" s="9"/>
      <c r="L99" s="9"/>
    </row>
    <row r="100" spans="8:12">
      <c r="H100"/>
      <c r="I100" s="56"/>
      <c r="J100" s="9"/>
      <c r="K100" s="9"/>
      <c r="L100" s="9"/>
    </row>
    <row r="101" spans="8:12">
      <c r="H101"/>
      <c r="I101" s="56"/>
      <c r="J101" s="9"/>
      <c r="K101" s="9"/>
      <c r="L101" s="9"/>
    </row>
    <row r="102" spans="8:12">
      <c r="I102" s="51"/>
      <c r="K102" s="50"/>
      <c r="L102" s="50"/>
    </row>
    <row r="103" spans="8:12">
      <c r="I103" s="51"/>
      <c r="K103" s="50"/>
      <c r="L103" s="50"/>
    </row>
    <row r="104" spans="8:12">
      <c r="I104" s="51"/>
      <c r="K104" s="50"/>
      <c r="L104" s="50"/>
    </row>
    <row r="105" spans="8:12">
      <c r="I105" s="51"/>
      <c r="K105" s="50"/>
      <c r="L105" s="50"/>
    </row>
    <row r="106" spans="8:12">
      <c r="I106" s="51"/>
      <c r="K106" s="50"/>
      <c r="L106" s="50"/>
    </row>
    <row r="107" spans="8:12">
      <c r="I107" s="51"/>
      <c r="K107" s="50"/>
      <c r="L107" s="50"/>
    </row>
    <row r="108" spans="8:12">
      <c r="I108" s="51"/>
      <c r="K108" s="50"/>
      <c r="L108" s="50"/>
    </row>
    <row r="109" spans="8:12">
      <c r="I109" s="51"/>
      <c r="K109" s="50"/>
      <c r="L109" s="50"/>
    </row>
    <row r="110" spans="8:12">
      <c r="I110" s="51"/>
      <c r="K110" s="50"/>
      <c r="L110" s="50"/>
    </row>
  </sheetData>
  <mergeCells count="2">
    <mergeCell ref="B2:C2"/>
    <mergeCell ref="E2:F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brirUserForm" altText="SISTEMA DE OPERAÇÕES">
                <anchor moveWithCells="1" sizeWithCells="1">
                  <from>
                    <xdr:col>0</xdr:col>
                    <xdr:colOff>228600</xdr:colOff>
                    <xdr:row>8</xdr:row>
                    <xdr:rowOff>22860</xdr:rowOff>
                  </from>
                  <to>
                    <xdr:col>2</xdr:col>
                    <xdr:colOff>594360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B8"/>
  <sheetViews>
    <sheetView workbookViewId="0">
      <selection activeCell="B1" sqref="B1"/>
    </sheetView>
  </sheetViews>
  <sheetFormatPr defaultRowHeight="14.4"/>
  <cols>
    <col min="1" max="1" width="51.88671875" bestFit="1" customWidth="1"/>
    <col min="2" max="2" width="18" bestFit="1" customWidth="1"/>
  </cols>
  <sheetData>
    <row r="1" spans="1:2">
      <c r="A1" t="s">
        <v>0</v>
      </c>
    </row>
    <row r="2" spans="1:2">
      <c r="A2" t="s">
        <v>1</v>
      </c>
      <c r="B2" t="s">
        <v>8</v>
      </c>
    </row>
    <row r="3" spans="1:2">
      <c r="A3" t="s">
        <v>2</v>
      </c>
      <c r="B3" t="s">
        <v>9</v>
      </c>
    </row>
    <row r="4" spans="1:2">
      <c r="A4" t="s">
        <v>3</v>
      </c>
      <c r="B4" t="s">
        <v>10</v>
      </c>
    </row>
    <row r="5" spans="1:2">
      <c r="A5" t="s">
        <v>4</v>
      </c>
      <c r="B5" t="s">
        <v>11</v>
      </c>
    </row>
    <row r="6" spans="1:2">
      <c r="A6" t="s">
        <v>5</v>
      </c>
      <c r="B6" t="s">
        <v>12</v>
      </c>
    </row>
    <row r="7" spans="1:2">
      <c r="A7" t="s">
        <v>6</v>
      </c>
      <c r="B7" t="s">
        <v>13</v>
      </c>
    </row>
    <row r="8" spans="1:2">
      <c r="A8" t="s">
        <v>7</v>
      </c>
      <c r="B8" t="s">
        <v>14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T316"/>
  <sheetViews>
    <sheetView tabSelected="1" topLeftCell="E1" zoomScaleNormal="100" workbookViewId="0">
      <pane ySplit="1" topLeftCell="A2" activePane="bottomLeft" state="frozen"/>
      <selection pane="bottomLeft" activeCell="I2" sqref="I2"/>
    </sheetView>
  </sheetViews>
  <sheetFormatPr defaultColWidth="26.109375" defaultRowHeight="14.4"/>
  <cols>
    <col min="1" max="1" width="29" style="30" bestFit="1" customWidth="1"/>
    <col min="2" max="2" width="60.33203125" style="30" bestFit="1" customWidth="1"/>
    <col min="3" max="3" width="18.44140625" style="34" bestFit="1" customWidth="1"/>
    <col min="4" max="4" width="21.5546875" style="30" bestFit="1" customWidth="1"/>
    <col min="5" max="5" width="21.109375" style="36" bestFit="1" customWidth="1"/>
    <col min="6" max="6" width="30.88671875" style="35" bestFit="1" customWidth="1"/>
    <col min="7" max="7" width="28.109375" style="30" bestFit="1" customWidth="1"/>
    <col min="8" max="8" width="57.88671875" style="30" bestFit="1" customWidth="1"/>
    <col min="9" max="9" width="22.109375" style="41" bestFit="1" customWidth="1"/>
    <col min="10" max="10" width="41.88671875" style="30" customWidth="1"/>
    <col min="11" max="11" width="34.44140625" style="30" bestFit="1" customWidth="1"/>
    <col min="12" max="12" width="18.33203125" style="30" bestFit="1" customWidth="1"/>
    <col min="13" max="13" width="28.44140625" style="30" bestFit="1" customWidth="1"/>
    <col min="14" max="14" width="24.5546875" style="36" bestFit="1" customWidth="1"/>
    <col min="15" max="15" width="26.6640625" style="30" bestFit="1" customWidth="1"/>
    <col min="16" max="16" width="65.6640625" style="30" bestFit="1" customWidth="1"/>
    <col min="17" max="17" width="46.33203125" style="30" bestFit="1" customWidth="1"/>
    <col min="18" max="18" width="33" style="30" bestFit="1" customWidth="1"/>
    <col min="19" max="19" width="14.109375" style="30" bestFit="1" customWidth="1"/>
    <col min="20" max="20" width="14.6640625" style="30" bestFit="1" customWidth="1"/>
    <col min="21" max="16384" width="26.109375" style="30"/>
  </cols>
  <sheetData>
    <row r="1" spans="1:20" s="1" customFormat="1" ht="43.2">
      <c r="A1" s="18" t="s">
        <v>22</v>
      </c>
      <c r="B1" s="19" t="s">
        <v>32</v>
      </c>
      <c r="C1" s="18" t="s">
        <v>15</v>
      </c>
      <c r="D1" s="18" t="s">
        <v>18</v>
      </c>
      <c r="E1" s="20" t="s">
        <v>16</v>
      </c>
      <c r="F1" s="21" t="s">
        <v>23</v>
      </c>
      <c r="G1" s="18" t="s">
        <v>24</v>
      </c>
      <c r="H1" s="18" t="s">
        <v>33</v>
      </c>
      <c r="I1" s="22" t="s">
        <v>25</v>
      </c>
      <c r="J1" s="18" t="s">
        <v>30</v>
      </c>
      <c r="K1" s="18" t="s">
        <v>26</v>
      </c>
      <c r="L1" s="18" t="s">
        <v>27</v>
      </c>
      <c r="M1" s="23" t="s">
        <v>28</v>
      </c>
      <c r="N1" s="23" t="s">
        <v>19</v>
      </c>
      <c r="O1" s="23" t="s">
        <v>20</v>
      </c>
      <c r="P1" s="18" t="s">
        <v>21</v>
      </c>
      <c r="Q1" s="18" t="s">
        <v>29</v>
      </c>
      <c r="R1" s="19" t="s">
        <v>31</v>
      </c>
      <c r="S1" s="18" t="s">
        <v>34</v>
      </c>
      <c r="T1" s="18" t="s">
        <v>35</v>
      </c>
    </row>
    <row r="2" spans="1:20">
      <c r="A2" s="25" t="s">
        <v>53</v>
      </c>
      <c r="B2" s="25" t="s">
        <v>56</v>
      </c>
      <c r="C2" s="31">
        <v>156680</v>
      </c>
      <c r="D2" s="26" t="s">
        <v>657</v>
      </c>
      <c r="E2" s="7" t="s">
        <v>578</v>
      </c>
      <c r="F2" s="7" t="s">
        <v>802</v>
      </c>
      <c r="G2" s="25" t="s">
        <v>48</v>
      </c>
      <c r="H2" s="25" t="s">
        <v>49</v>
      </c>
      <c r="I2" s="40">
        <f>ROUND((F2-(F2*0.0288)),2)</f>
        <v>106377.09</v>
      </c>
      <c r="J2" s="25" t="s">
        <v>508</v>
      </c>
      <c r="K2" s="27"/>
      <c r="L2" s="44">
        <v>13012100</v>
      </c>
      <c r="M2" s="26">
        <v>1</v>
      </c>
      <c r="N2" s="26" t="s">
        <v>579</v>
      </c>
      <c r="O2" s="29">
        <v>2</v>
      </c>
      <c r="P2" s="28" t="s">
        <v>508</v>
      </c>
      <c r="Q2" s="26" t="s">
        <v>658</v>
      </c>
      <c r="R2" s="40"/>
      <c r="S2" s="26"/>
      <c r="T2" s="26"/>
    </row>
    <row r="3" spans="1:20">
      <c r="A3" s="25" t="s">
        <v>53</v>
      </c>
      <c r="B3" s="25" t="s">
        <v>56</v>
      </c>
      <c r="C3" s="31">
        <v>156866</v>
      </c>
      <c r="D3" s="26" t="s">
        <v>659</v>
      </c>
      <c r="E3" s="7" t="s">
        <v>660</v>
      </c>
      <c r="F3" s="7" t="s">
        <v>803</v>
      </c>
      <c r="G3" s="25" t="s">
        <v>48</v>
      </c>
      <c r="H3" s="25" t="s">
        <v>49</v>
      </c>
      <c r="I3" s="40">
        <f t="shared" ref="I3:I60" si="0">ROUND((F3-(F3*0.0288)),2)</f>
        <v>51426.55</v>
      </c>
      <c r="J3" s="28" t="s">
        <v>508</v>
      </c>
      <c r="K3" s="27"/>
      <c r="L3" s="44">
        <v>13012100</v>
      </c>
      <c r="M3" s="26">
        <v>1</v>
      </c>
      <c r="N3" s="26" t="s">
        <v>661</v>
      </c>
      <c r="O3" s="26">
        <v>2</v>
      </c>
      <c r="P3" s="28" t="s">
        <v>508</v>
      </c>
      <c r="Q3" s="26" t="s">
        <v>662</v>
      </c>
      <c r="R3" s="40"/>
      <c r="S3" s="26"/>
      <c r="T3" s="26"/>
    </row>
    <row r="4" spans="1:20">
      <c r="A4" s="25" t="s">
        <v>53</v>
      </c>
      <c r="B4" s="25" t="s">
        <v>56</v>
      </c>
      <c r="C4" s="31">
        <v>156867</v>
      </c>
      <c r="D4" s="26" t="s">
        <v>663</v>
      </c>
      <c r="E4" s="7" t="s">
        <v>660</v>
      </c>
      <c r="F4" s="7" t="s">
        <v>804</v>
      </c>
      <c r="G4" s="25" t="s">
        <v>48</v>
      </c>
      <c r="H4" s="25" t="s">
        <v>49</v>
      </c>
      <c r="I4" s="40">
        <f t="shared" si="0"/>
        <v>182717.76</v>
      </c>
      <c r="J4" s="28" t="s">
        <v>508</v>
      </c>
      <c r="K4" s="27"/>
      <c r="L4" s="44">
        <v>13012100</v>
      </c>
      <c r="M4" s="26">
        <v>1</v>
      </c>
      <c r="N4" s="26" t="s">
        <v>661</v>
      </c>
      <c r="O4" s="26">
        <v>2</v>
      </c>
      <c r="P4" s="28" t="s">
        <v>508</v>
      </c>
      <c r="Q4" s="26" t="s">
        <v>664</v>
      </c>
      <c r="R4" s="40"/>
      <c r="S4" s="26"/>
      <c r="T4" s="26"/>
    </row>
    <row r="5" spans="1:20">
      <c r="A5" s="25" t="s">
        <v>53</v>
      </c>
      <c r="B5" s="25" t="s">
        <v>56</v>
      </c>
      <c r="C5" s="31">
        <v>156882</v>
      </c>
      <c r="D5" s="26" t="s">
        <v>665</v>
      </c>
      <c r="E5" s="7" t="s">
        <v>666</v>
      </c>
      <c r="F5" s="7" t="s">
        <v>805</v>
      </c>
      <c r="G5" s="25" t="s">
        <v>48</v>
      </c>
      <c r="H5" s="25" t="s">
        <v>49</v>
      </c>
      <c r="I5" s="40">
        <f t="shared" si="0"/>
        <v>54165.22</v>
      </c>
      <c r="J5" s="28" t="s">
        <v>508</v>
      </c>
      <c r="K5" s="28" t="s">
        <v>512</v>
      </c>
      <c r="L5" s="44">
        <v>13012100</v>
      </c>
      <c r="M5" s="26">
        <v>1</v>
      </c>
      <c r="N5" s="26" t="s">
        <v>667</v>
      </c>
      <c r="O5" s="26">
        <v>2</v>
      </c>
      <c r="P5" s="28" t="s">
        <v>508</v>
      </c>
      <c r="Q5" s="26" t="s">
        <v>668</v>
      </c>
      <c r="R5" s="40"/>
      <c r="S5" s="26"/>
      <c r="T5" s="26"/>
    </row>
    <row r="6" spans="1:20">
      <c r="A6" s="25" t="s">
        <v>53</v>
      </c>
      <c r="B6" s="25" t="s">
        <v>56</v>
      </c>
      <c r="C6" s="31">
        <v>156883</v>
      </c>
      <c r="D6" s="26" t="s">
        <v>669</v>
      </c>
      <c r="E6" s="7" t="s">
        <v>660</v>
      </c>
      <c r="F6" s="7" t="s">
        <v>806</v>
      </c>
      <c r="G6" s="25" t="s">
        <v>48</v>
      </c>
      <c r="H6" s="25" t="s">
        <v>49</v>
      </c>
      <c r="I6" s="40">
        <f t="shared" si="0"/>
        <v>7351</v>
      </c>
      <c r="J6" s="28" t="s">
        <v>508</v>
      </c>
      <c r="K6" s="27"/>
      <c r="L6" s="44">
        <v>13012100</v>
      </c>
      <c r="M6" s="26">
        <v>1</v>
      </c>
      <c r="N6" s="26" t="s">
        <v>667</v>
      </c>
      <c r="O6" s="26">
        <v>2</v>
      </c>
      <c r="P6" s="28" t="s">
        <v>508</v>
      </c>
      <c r="Q6" s="26" t="s">
        <v>670</v>
      </c>
      <c r="R6" s="40"/>
      <c r="S6" s="26"/>
      <c r="T6" s="26"/>
    </row>
    <row r="7" spans="1:20">
      <c r="A7" s="25" t="s">
        <v>53</v>
      </c>
      <c r="B7" s="25" t="s">
        <v>56</v>
      </c>
      <c r="C7" s="31">
        <v>156897</v>
      </c>
      <c r="D7" s="26" t="s">
        <v>671</v>
      </c>
      <c r="E7" s="7" t="s">
        <v>672</v>
      </c>
      <c r="F7" s="7" t="s">
        <v>807</v>
      </c>
      <c r="G7" s="25" t="s">
        <v>48</v>
      </c>
      <c r="H7" s="25" t="s">
        <v>49</v>
      </c>
      <c r="I7" s="40">
        <f t="shared" si="0"/>
        <v>157184.23000000001</v>
      </c>
      <c r="J7" s="28" t="s">
        <v>508</v>
      </c>
      <c r="K7" s="27"/>
      <c r="L7" s="44">
        <v>13012100</v>
      </c>
      <c r="M7" s="26">
        <v>1</v>
      </c>
      <c r="N7" s="26" t="s">
        <v>673</v>
      </c>
      <c r="O7" s="26">
        <v>2</v>
      </c>
      <c r="P7" s="28" t="s">
        <v>508</v>
      </c>
      <c r="Q7" s="26" t="s">
        <v>674</v>
      </c>
      <c r="R7" s="40"/>
      <c r="S7" s="26"/>
      <c r="T7" s="26"/>
    </row>
    <row r="8" spans="1:20">
      <c r="A8" s="25" t="s">
        <v>53</v>
      </c>
      <c r="B8" s="25" t="s">
        <v>56</v>
      </c>
      <c r="C8" s="31">
        <v>156899</v>
      </c>
      <c r="D8" s="26" t="s">
        <v>675</v>
      </c>
      <c r="E8" s="7" t="s">
        <v>672</v>
      </c>
      <c r="F8" s="7" t="s">
        <v>808</v>
      </c>
      <c r="G8" s="25" t="s">
        <v>48</v>
      </c>
      <c r="H8" s="25" t="s">
        <v>49</v>
      </c>
      <c r="I8" s="40">
        <f t="shared" si="0"/>
        <v>13279.37</v>
      </c>
      <c r="J8" s="28" t="s">
        <v>508</v>
      </c>
      <c r="K8" s="28" t="s">
        <v>512</v>
      </c>
      <c r="L8" s="44">
        <v>13012100</v>
      </c>
      <c r="M8" s="26">
        <v>1</v>
      </c>
      <c r="N8" s="26" t="s">
        <v>673</v>
      </c>
      <c r="O8" s="26">
        <v>2</v>
      </c>
      <c r="P8" s="28" t="s">
        <v>508</v>
      </c>
      <c r="Q8" s="26" t="s">
        <v>676</v>
      </c>
      <c r="R8" s="40"/>
      <c r="S8" s="26"/>
      <c r="T8" s="26"/>
    </row>
    <row r="9" spans="1:20">
      <c r="A9" s="25" t="s">
        <v>53</v>
      </c>
      <c r="B9" s="25" t="s">
        <v>56</v>
      </c>
      <c r="C9" s="31">
        <v>156936</v>
      </c>
      <c r="D9" s="26" t="s">
        <v>677</v>
      </c>
      <c r="E9" s="7" t="s">
        <v>678</v>
      </c>
      <c r="F9" s="7" t="s">
        <v>809</v>
      </c>
      <c r="G9" s="25" t="s">
        <v>48</v>
      </c>
      <c r="H9" s="25" t="s">
        <v>49</v>
      </c>
      <c r="I9" s="40">
        <f t="shared" si="0"/>
        <v>12050.45</v>
      </c>
      <c r="J9" s="28" t="s">
        <v>508</v>
      </c>
      <c r="K9" s="28" t="s">
        <v>512</v>
      </c>
      <c r="L9" s="44">
        <v>13012100</v>
      </c>
      <c r="M9" s="26">
        <v>1</v>
      </c>
      <c r="N9" s="26" t="s">
        <v>673</v>
      </c>
      <c r="O9" s="26">
        <v>2</v>
      </c>
      <c r="P9" s="28" t="s">
        <v>508</v>
      </c>
      <c r="Q9" s="26" t="s">
        <v>679</v>
      </c>
      <c r="R9" s="40"/>
      <c r="S9" s="26"/>
      <c r="T9" s="26"/>
    </row>
    <row r="10" spans="1:20">
      <c r="A10" s="25" t="s">
        <v>53</v>
      </c>
      <c r="B10" s="25" t="s">
        <v>56</v>
      </c>
      <c r="C10" s="31">
        <v>156938</v>
      </c>
      <c r="D10" s="26" t="s">
        <v>680</v>
      </c>
      <c r="E10" s="7" t="s">
        <v>457</v>
      </c>
      <c r="F10" s="7" t="s">
        <v>810</v>
      </c>
      <c r="G10" s="25" t="s">
        <v>111</v>
      </c>
      <c r="H10" s="25" t="s">
        <v>141</v>
      </c>
      <c r="I10" s="40">
        <f t="shared" si="0"/>
        <v>4579.49</v>
      </c>
      <c r="J10" s="28" t="s">
        <v>508</v>
      </c>
      <c r="K10" s="27"/>
      <c r="L10" s="44">
        <v>9680900</v>
      </c>
      <c r="M10" s="26">
        <v>1</v>
      </c>
      <c r="N10" s="26" t="s">
        <v>673</v>
      </c>
      <c r="O10" s="26">
        <v>2</v>
      </c>
      <c r="P10" s="28" t="s">
        <v>508</v>
      </c>
      <c r="Q10" s="26" t="s">
        <v>681</v>
      </c>
      <c r="R10" s="40"/>
      <c r="S10" s="26"/>
      <c r="T10" s="26"/>
    </row>
    <row r="11" spans="1:20">
      <c r="A11" s="25" t="s">
        <v>53</v>
      </c>
      <c r="B11" s="25" t="s">
        <v>56</v>
      </c>
      <c r="C11" s="31">
        <v>156939</v>
      </c>
      <c r="D11" s="26" t="s">
        <v>682</v>
      </c>
      <c r="E11" s="7" t="s">
        <v>457</v>
      </c>
      <c r="F11" s="7" t="s">
        <v>811</v>
      </c>
      <c r="G11" s="25" t="s">
        <v>111</v>
      </c>
      <c r="H11" s="25" t="s">
        <v>141</v>
      </c>
      <c r="I11" s="40">
        <f t="shared" si="0"/>
        <v>57412.34</v>
      </c>
      <c r="J11" s="28" t="s">
        <v>508</v>
      </c>
      <c r="K11" s="28" t="s">
        <v>512</v>
      </c>
      <c r="L11" s="44">
        <v>9680900</v>
      </c>
      <c r="M11" s="26">
        <v>1</v>
      </c>
      <c r="N11" s="26" t="s">
        <v>673</v>
      </c>
      <c r="O11" s="26">
        <v>2</v>
      </c>
      <c r="P11" s="28" t="s">
        <v>508</v>
      </c>
      <c r="Q11" s="26" t="s">
        <v>683</v>
      </c>
      <c r="R11" s="40"/>
      <c r="S11" s="26"/>
      <c r="T11" s="26"/>
    </row>
    <row r="12" spans="1:20">
      <c r="A12" s="25" t="s">
        <v>53</v>
      </c>
      <c r="B12" s="25" t="s">
        <v>56</v>
      </c>
      <c r="C12" s="31">
        <v>156940</v>
      </c>
      <c r="D12" s="26" t="s">
        <v>684</v>
      </c>
      <c r="E12" s="7" t="s">
        <v>457</v>
      </c>
      <c r="F12" s="7" t="s">
        <v>812</v>
      </c>
      <c r="G12" s="25" t="s">
        <v>111</v>
      </c>
      <c r="H12" s="25" t="s">
        <v>141</v>
      </c>
      <c r="I12" s="40">
        <f t="shared" si="0"/>
        <v>9150.89</v>
      </c>
      <c r="J12" s="28" t="s">
        <v>508</v>
      </c>
      <c r="K12" s="28" t="s">
        <v>512</v>
      </c>
      <c r="L12" s="44">
        <v>9680900</v>
      </c>
      <c r="M12" s="26">
        <v>1</v>
      </c>
      <c r="N12" s="26" t="s">
        <v>673</v>
      </c>
      <c r="O12" s="26">
        <v>2</v>
      </c>
      <c r="P12" s="28" t="s">
        <v>508</v>
      </c>
      <c r="Q12" s="26" t="s">
        <v>685</v>
      </c>
      <c r="R12" s="40"/>
      <c r="S12" s="26"/>
      <c r="T12" s="26"/>
    </row>
    <row r="13" spans="1:20">
      <c r="A13" s="25" t="s">
        <v>53</v>
      </c>
      <c r="B13" s="25" t="s">
        <v>56</v>
      </c>
      <c r="C13" s="31">
        <v>156948</v>
      </c>
      <c r="D13" s="26" t="s">
        <v>686</v>
      </c>
      <c r="E13" s="7" t="s">
        <v>678</v>
      </c>
      <c r="F13" s="7" t="s">
        <v>813</v>
      </c>
      <c r="G13" s="25" t="s">
        <v>48</v>
      </c>
      <c r="H13" s="25" t="s">
        <v>49</v>
      </c>
      <c r="I13" s="40">
        <f t="shared" si="0"/>
        <v>37522.230000000003</v>
      </c>
      <c r="J13" s="28" t="s">
        <v>508</v>
      </c>
      <c r="K13" s="27"/>
      <c r="L13" s="44">
        <v>13012100</v>
      </c>
      <c r="M13" s="26">
        <v>1</v>
      </c>
      <c r="N13" s="26" t="s">
        <v>687</v>
      </c>
      <c r="O13" s="26">
        <v>2</v>
      </c>
      <c r="P13" s="28" t="s">
        <v>508</v>
      </c>
      <c r="Q13" s="26" t="s">
        <v>688</v>
      </c>
      <c r="R13" s="40"/>
      <c r="S13" s="26"/>
      <c r="T13" s="26"/>
    </row>
    <row r="14" spans="1:20">
      <c r="A14" s="25" t="s">
        <v>53</v>
      </c>
      <c r="B14" s="25" t="s">
        <v>56</v>
      </c>
      <c r="C14" s="31">
        <v>156949</v>
      </c>
      <c r="D14" s="26" t="s">
        <v>689</v>
      </c>
      <c r="E14" s="7" t="s">
        <v>678</v>
      </c>
      <c r="F14" s="7" t="s">
        <v>814</v>
      </c>
      <c r="G14" s="25" t="s">
        <v>48</v>
      </c>
      <c r="H14" s="25" t="s">
        <v>49</v>
      </c>
      <c r="I14" s="40">
        <f t="shared" si="0"/>
        <v>134809.79999999999</v>
      </c>
      <c r="J14" s="28" t="s">
        <v>508</v>
      </c>
      <c r="K14" s="28" t="s">
        <v>512</v>
      </c>
      <c r="L14" s="44">
        <v>13012100</v>
      </c>
      <c r="M14" s="26">
        <v>1</v>
      </c>
      <c r="N14" s="26" t="s">
        <v>687</v>
      </c>
      <c r="O14" s="26">
        <v>2</v>
      </c>
      <c r="P14" s="28" t="s">
        <v>508</v>
      </c>
      <c r="Q14" s="26" t="s">
        <v>690</v>
      </c>
      <c r="R14" s="40"/>
      <c r="S14" s="26"/>
      <c r="T14" s="26"/>
    </row>
    <row r="15" spans="1:20">
      <c r="A15" s="25" t="s">
        <v>53</v>
      </c>
      <c r="B15" s="25" t="s">
        <v>56</v>
      </c>
      <c r="C15" s="31">
        <v>156980</v>
      </c>
      <c r="D15" s="26" t="s">
        <v>691</v>
      </c>
      <c r="E15" s="7" t="s">
        <v>457</v>
      </c>
      <c r="F15" s="7" t="s">
        <v>635</v>
      </c>
      <c r="G15" s="25" t="s">
        <v>111</v>
      </c>
      <c r="H15" s="25" t="s">
        <v>141</v>
      </c>
      <c r="I15" s="40">
        <f t="shared" si="0"/>
        <v>9955.4</v>
      </c>
      <c r="J15" s="28" t="s">
        <v>508</v>
      </c>
      <c r="K15" s="28" t="s">
        <v>512</v>
      </c>
      <c r="L15" s="44">
        <v>9680900</v>
      </c>
      <c r="M15" s="26">
        <v>1</v>
      </c>
      <c r="N15" s="26" t="s">
        <v>687</v>
      </c>
      <c r="O15" s="26">
        <v>2</v>
      </c>
      <c r="P15" s="28" t="s">
        <v>508</v>
      </c>
      <c r="Q15" s="26" t="s">
        <v>692</v>
      </c>
      <c r="R15" s="40"/>
      <c r="S15" s="26"/>
      <c r="T15" s="26"/>
    </row>
    <row r="16" spans="1:20">
      <c r="A16" s="25" t="s">
        <v>53</v>
      </c>
      <c r="B16" s="25" t="s">
        <v>56</v>
      </c>
      <c r="C16" s="31">
        <v>156981</v>
      </c>
      <c r="D16" s="26" t="s">
        <v>693</v>
      </c>
      <c r="E16" s="7" t="s">
        <v>457</v>
      </c>
      <c r="F16" s="7" t="s">
        <v>815</v>
      </c>
      <c r="G16" s="25" t="s">
        <v>111</v>
      </c>
      <c r="H16" s="25" t="s">
        <v>141</v>
      </c>
      <c r="I16" s="40">
        <f t="shared" si="0"/>
        <v>7981.13</v>
      </c>
      <c r="J16" s="28" t="s">
        <v>508</v>
      </c>
      <c r="K16" s="28" t="s">
        <v>512</v>
      </c>
      <c r="L16" s="44">
        <v>9680900</v>
      </c>
      <c r="M16" s="26">
        <v>1</v>
      </c>
      <c r="N16" s="26" t="s">
        <v>687</v>
      </c>
      <c r="O16" s="26">
        <v>2</v>
      </c>
      <c r="P16" s="28" t="s">
        <v>508</v>
      </c>
      <c r="Q16" s="26" t="s">
        <v>694</v>
      </c>
      <c r="R16" s="40"/>
      <c r="S16" s="26"/>
      <c r="T16" s="26"/>
    </row>
    <row r="17" spans="1:20">
      <c r="A17" s="25" t="s">
        <v>53</v>
      </c>
      <c r="B17" s="25" t="s">
        <v>56</v>
      </c>
      <c r="C17" s="31">
        <v>156982</v>
      </c>
      <c r="D17" s="26" t="s">
        <v>695</v>
      </c>
      <c r="E17" s="7" t="s">
        <v>457</v>
      </c>
      <c r="F17" s="7" t="s">
        <v>816</v>
      </c>
      <c r="G17" s="25" t="s">
        <v>111</v>
      </c>
      <c r="H17" s="25" t="s">
        <v>141</v>
      </c>
      <c r="I17" s="40">
        <f t="shared" si="0"/>
        <v>100911.22</v>
      </c>
      <c r="J17" s="28" t="s">
        <v>508</v>
      </c>
      <c r="K17" s="28" t="s">
        <v>512</v>
      </c>
      <c r="L17" s="44">
        <v>9680900</v>
      </c>
      <c r="M17" s="26">
        <v>1</v>
      </c>
      <c r="N17" s="26" t="s">
        <v>687</v>
      </c>
      <c r="O17" s="26">
        <v>2</v>
      </c>
      <c r="P17" s="28" t="s">
        <v>508</v>
      </c>
      <c r="Q17" s="26" t="s">
        <v>696</v>
      </c>
      <c r="R17" s="40"/>
      <c r="S17" s="26"/>
      <c r="T17" s="26"/>
    </row>
    <row r="18" spans="1:20">
      <c r="A18" s="25" t="s">
        <v>53</v>
      </c>
      <c r="B18" s="25" t="s">
        <v>56</v>
      </c>
      <c r="C18" s="31">
        <v>156983</v>
      </c>
      <c r="D18" s="26" t="s">
        <v>697</v>
      </c>
      <c r="E18" s="7" t="s">
        <v>457</v>
      </c>
      <c r="F18" s="7" t="s">
        <v>817</v>
      </c>
      <c r="G18" s="25" t="s">
        <v>111</v>
      </c>
      <c r="H18" s="25" t="s">
        <v>141</v>
      </c>
      <c r="I18" s="40">
        <f t="shared" si="0"/>
        <v>19677.599999999999</v>
      </c>
      <c r="J18" s="28" t="s">
        <v>508</v>
      </c>
      <c r="K18" s="28" t="s">
        <v>512</v>
      </c>
      <c r="L18" s="44">
        <v>9680900</v>
      </c>
      <c r="M18" s="26">
        <v>1</v>
      </c>
      <c r="N18" s="26" t="s">
        <v>687</v>
      </c>
      <c r="O18" s="26">
        <v>2</v>
      </c>
      <c r="P18" s="28" t="s">
        <v>508</v>
      </c>
      <c r="Q18" s="26" t="s">
        <v>698</v>
      </c>
      <c r="R18" s="40"/>
      <c r="S18" s="26"/>
      <c r="T18" s="26"/>
    </row>
    <row r="19" spans="1:20">
      <c r="A19" s="25" t="s">
        <v>53</v>
      </c>
      <c r="B19" s="25" t="s">
        <v>56</v>
      </c>
      <c r="C19" s="31">
        <v>156989</v>
      </c>
      <c r="D19" s="26" t="s">
        <v>699</v>
      </c>
      <c r="E19" s="7" t="s">
        <v>700</v>
      </c>
      <c r="F19" s="7" t="s">
        <v>818</v>
      </c>
      <c r="G19" s="25" t="s">
        <v>48</v>
      </c>
      <c r="H19" s="25" t="s">
        <v>49</v>
      </c>
      <c r="I19" s="40">
        <f t="shared" si="0"/>
        <v>60656</v>
      </c>
      <c r="J19" s="28" t="s">
        <v>508</v>
      </c>
      <c r="K19" s="27"/>
      <c r="L19" s="44">
        <v>13012100</v>
      </c>
      <c r="M19" s="26">
        <v>1</v>
      </c>
      <c r="N19" s="26" t="s">
        <v>701</v>
      </c>
      <c r="O19" s="26">
        <v>2</v>
      </c>
      <c r="P19" s="28" t="s">
        <v>508</v>
      </c>
      <c r="Q19" s="26" t="s">
        <v>702</v>
      </c>
      <c r="R19" s="40"/>
      <c r="S19" s="26"/>
      <c r="T19" s="26"/>
    </row>
    <row r="20" spans="1:20">
      <c r="A20" s="25" t="s">
        <v>53</v>
      </c>
      <c r="B20" s="25" t="s">
        <v>56</v>
      </c>
      <c r="C20" s="31">
        <v>156991</v>
      </c>
      <c r="D20" s="26" t="s">
        <v>703</v>
      </c>
      <c r="E20" s="7" t="s">
        <v>704</v>
      </c>
      <c r="F20" s="7" t="s">
        <v>819</v>
      </c>
      <c r="G20" s="25" t="s">
        <v>48</v>
      </c>
      <c r="H20" s="25" t="s">
        <v>49</v>
      </c>
      <c r="I20" s="40">
        <f t="shared" si="0"/>
        <v>24409.94</v>
      </c>
      <c r="J20" s="28" t="s">
        <v>508</v>
      </c>
      <c r="K20" s="28" t="s">
        <v>512</v>
      </c>
      <c r="L20" s="44">
        <v>13012100</v>
      </c>
      <c r="M20" s="26">
        <v>1</v>
      </c>
      <c r="N20" s="26" t="s">
        <v>701</v>
      </c>
      <c r="O20" s="26">
        <v>2</v>
      </c>
      <c r="P20" s="28" t="s">
        <v>508</v>
      </c>
      <c r="Q20" s="26" t="s">
        <v>705</v>
      </c>
      <c r="R20" s="40"/>
      <c r="S20" s="26"/>
      <c r="T20" s="26"/>
    </row>
    <row r="21" spans="1:20">
      <c r="A21" s="25" t="s">
        <v>53</v>
      </c>
      <c r="B21" s="25" t="s">
        <v>56</v>
      </c>
      <c r="C21" s="31">
        <v>156995</v>
      </c>
      <c r="D21" s="26" t="s">
        <v>706</v>
      </c>
      <c r="E21" s="7" t="s">
        <v>707</v>
      </c>
      <c r="F21" s="7" t="s">
        <v>820</v>
      </c>
      <c r="G21" s="25" t="s">
        <v>48</v>
      </c>
      <c r="H21" s="25" t="s">
        <v>49</v>
      </c>
      <c r="I21" s="40">
        <f t="shared" si="0"/>
        <v>29429.59</v>
      </c>
      <c r="J21" s="28" t="s">
        <v>508</v>
      </c>
      <c r="K21" s="28" t="s">
        <v>512</v>
      </c>
      <c r="L21" s="44">
        <v>13012100</v>
      </c>
      <c r="M21" s="26">
        <v>1</v>
      </c>
      <c r="N21" s="26" t="s">
        <v>701</v>
      </c>
      <c r="O21" s="26">
        <v>2</v>
      </c>
      <c r="P21" s="28" t="s">
        <v>508</v>
      </c>
      <c r="Q21" s="26" t="s">
        <v>708</v>
      </c>
      <c r="R21" s="40"/>
      <c r="S21" s="26"/>
      <c r="T21" s="26"/>
    </row>
    <row r="22" spans="1:20">
      <c r="A22" s="25" t="s">
        <v>53</v>
      </c>
      <c r="B22" s="25" t="s">
        <v>56</v>
      </c>
      <c r="C22" s="31">
        <v>157042</v>
      </c>
      <c r="D22" s="26" t="s">
        <v>709</v>
      </c>
      <c r="E22" s="7" t="s">
        <v>704</v>
      </c>
      <c r="F22" s="7" t="s">
        <v>821</v>
      </c>
      <c r="G22" s="25" t="s">
        <v>48</v>
      </c>
      <c r="H22" s="25" t="s">
        <v>49</v>
      </c>
      <c r="I22" s="40">
        <f t="shared" si="0"/>
        <v>113248.96000000001</v>
      </c>
      <c r="J22" s="28" t="s">
        <v>508</v>
      </c>
      <c r="K22" s="28" t="s">
        <v>512</v>
      </c>
      <c r="L22" s="44">
        <v>13012100</v>
      </c>
      <c r="M22" s="26">
        <v>1</v>
      </c>
      <c r="N22" s="26" t="s">
        <v>710</v>
      </c>
      <c r="O22" s="26">
        <v>2</v>
      </c>
      <c r="P22" s="28" t="s">
        <v>508</v>
      </c>
      <c r="Q22" s="26" t="s">
        <v>711</v>
      </c>
      <c r="R22" s="40"/>
      <c r="S22" s="26"/>
      <c r="T22" s="26"/>
    </row>
    <row r="23" spans="1:20">
      <c r="A23" s="25" t="s">
        <v>53</v>
      </c>
      <c r="B23" s="25" t="s">
        <v>56</v>
      </c>
      <c r="C23" s="31">
        <v>157071</v>
      </c>
      <c r="D23" s="26" t="s">
        <v>712</v>
      </c>
      <c r="E23" s="7" t="s">
        <v>457</v>
      </c>
      <c r="F23" s="7" t="s">
        <v>822</v>
      </c>
      <c r="G23" s="25" t="s">
        <v>111</v>
      </c>
      <c r="H23" s="25" t="s">
        <v>141</v>
      </c>
      <c r="I23" s="40">
        <f t="shared" si="0"/>
        <v>4380.37</v>
      </c>
      <c r="J23" s="28" t="s">
        <v>508</v>
      </c>
      <c r="K23" s="28" t="s">
        <v>512</v>
      </c>
      <c r="L23" s="44">
        <v>9680900</v>
      </c>
      <c r="M23" s="26">
        <v>1</v>
      </c>
      <c r="N23" s="26" t="s">
        <v>710</v>
      </c>
      <c r="O23" s="26">
        <v>2</v>
      </c>
      <c r="P23" s="28" t="s">
        <v>508</v>
      </c>
      <c r="Q23" s="26" t="s">
        <v>713</v>
      </c>
      <c r="R23" s="40"/>
      <c r="S23" s="26"/>
      <c r="T23" s="26"/>
    </row>
    <row r="24" spans="1:20">
      <c r="A24" s="25" t="s">
        <v>53</v>
      </c>
      <c r="B24" s="25" t="s">
        <v>56</v>
      </c>
      <c r="C24" s="31">
        <v>157072</v>
      </c>
      <c r="D24" s="26" t="s">
        <v>714</v>
      </c>
      <c r="E24" s="7" t="s">
        <v>457</v>
      </c>
      <c r="F24" s="7" t="s">
        <v>823</v>
      </c>
      <c r="G24" s="25" t="s">
        <v>111</v>
      </c>
      <c r="H24" s="25" t="s">
        <v>141</v>
      </c>
      <c r="I24" s="40">
        <f t="shared" si="0"/>
        <v>6748.21</v>
      </c>
      <c r="J24" s="28" t="s">
        <v>508</v>
      </c>
      <c r="K24" s="28" t="s">
        <v>512</v>
      </c>
      <c r="L24" s="44">
        <v>9680900</v>
      </c>
      <c r="M24" s="26">
        <v>1</v>
      </c>
      <c r="N24" s="26" t="s">
        <v>710</v>
      </c>
      <c r="O24" s="26">
        <v>2</v>
      </c>
      <c r="P24" s="28" t="s">
        <v>508</v>
      </c>
      <c r="Q24" s="26" t="s">
        <v>715</v>
      </c>
      <c r="R24" s="40"/>
      <c r="S24" s="26"/>
      <c r="T24" s="26"/>
    </row>
    <row r="25" spans="1:20">
      <c r="A25" s="25" t="s">
        <v>53</v>
      </c>
      <c r="B25" s="25" t="s">
        <v>56</v>
      </c>
      <c r="C25" s="31">
        <v>157073</v>
      </c>
      <c r="D25" s="26" t="s">
        <v>716</v>
      </c>
      <c r="E25" s="7" t="s">
        <v>457</v>
      </c>
      <c r="F25" s="7" t="s">
        <v>824</v>
      </c>
      <c r="G25" s="25" t="s">
        <v>111</v>
      </c>
      <c r="H25" s="25" t="s">
        <v>141</v>
      </c>
      <c r="I25" s="40">
        <f t="shared" si="0"/>
        <v>92711.64</v>
      </c>
      <c r="J25" s="28" t="s">
        <v>508</v>
      </c>
      <c r="K25" s="28" t="s">
        <v>512</v>
      </c>
      <c r="L25" s="44">
        <v>9680900</v>
      </c>
      <c r="M25" s="26">
        <v>1</v>
      </c>
      <c r="N25" s="26" t="s">
        <v>710</v>
      </c>
      <c r="O25" s="26">
        <v>2</v>
      </c>
      <c r="P25" s="28" t="s">
        <v>508</v>
      </c>
      <c r="Q25" s="26" t="s">
        <v>717</v>
      </c>
      <c r="R25" s="40"/>
      <c r="S25" s="26"/>
      <c r="T25" s="26"/>
    </row>
    <row r="26" spans="1:20">
      <c r="A26" s="25" t="s">
        <v>53</v>
      </c>
      <c r="B26" s="25" t="s">
        <v>56</v>
      </c>
      <c r="C26" s="31">
        <v>157075</v>
      </c>
      <c r="D26" s="26" t="s">
        <v>718</v>
      </c>
      <c r="E26" s="7" t="s">
        <v>719</v>
      </c>
      <c r="F26" s="7" t="s">
        <v>825</v>
      </c>
      <c r="G26" s="25" t="s">
        <v>48</v>
      </c>
      <c r="H26" s="25" t="s">
        <v>49</v>
      </c>
      <c r="I26" s="40">
        <f t="shared" si="0"/>
        <v>41030.39</v>
      </c>
      <c r="J26" s="28" t="s">
        <v>508</v>
      </c>
      <c r="K26" s="28" t="s">
        <v>512</v>
      </c>
      <c r="L26" s="44">
        <v>13012100</v>
      </c>
      <c r="M26" s="26">
        <v>1</v>
      </c>
      <c r="N26" s="26" t="s">
        <v>720</v>
      </c>
      <c r="O26" s="26">
        <v>2</v>
      </c>
      <c r="P26" s="28" t="s">
        <v>508</v>
      </c>
      <c r="Q26" s="26" t="s">
        <v>721</v>
      </c>
      <c r="R26" s="40"/>
      <c r="S26" s="26"/>
      <c r="T26" s="26"/>
    </row>
    <row r="27" spans="1:20">
      <c r="A27" s="25" t="s">
        <v>53</v>
      </c>
      <c r="B27" s="25" t="s">
        <v>56</v>
      </c>
      <c r="C27" s="31">
        <v>157076</v>
      </c>
      <c r="D27" s="26" t="s">
        <v>722</v>
      </c>
      <c r="E27" s="7" t="s">
        <v>719</v>
      </c>
      <c r="F27" s="7" t="s">
        <v>826</v>
      </c>
      <c r="G27" s="25" t="s">
        <v>48</v>
      </c>
      <c r="H27" s="25" t="s">
        <v>49</v>
      </c>
      <c r="I27" s="40">
        <f t="shared" si="0"/>
        <v>6813.08</v>
      </c>
      <c r="J27" s="28" t="s">
        <v>508</v>
      </c>
      <c r="K27" s="28" t="s">
        <v>512</v>
      </c>
      <c r="L27" s="44">
        <v>13012100</v>
      </c>
      <c r="M27" s="26">
        <v>1</v>
      </c>
      <c r="N27" s="26" t="s">
        <v>720</v>
      </c>
      <c r="O27" s="26">
        <v>2</v>
      </c>
      <c r="P27" s="28" t="s">
        <v>508</v>
      </c>
      <c r="Q27" s="26" t="s">
        <v>723</v>
      </c>
      <c r="R27" s="40"/>
      <c r="S27" s="26"/>
      <c r="T27" s="26"/>
    </row>
    <row r="28" spans="1:20">
      <c r="A28" s="25" t="s">
        <v>53</v>
      </c>
      <c r="B28" s="25" t="s">
        <v>56</v>
      </c>
      <c r="C28" s="31">
        <v>157077</v>
      </c>
      <c r="D28" s="26" t="s">
        <v>724</v>
      </c>
      <c r="E28" s="7" t="s">
        <v>707</v>
      </c>
      <c r="F28" s="7" t="s">
        <v>827</v>
      </c>
      <c r="G28" s="25" t="s">
        <v>48</v>
      </c>
      <c r="H28" s="25" t="s">
        <v>49</v>
      </c>
      <c r="I28" s="40">
        <f t="shared" si="0"/>
        <v>46847.75</v>
      </c>
      <c r="J28" s="28" t="s">
        <v>508</v>
      </c>
      <c r="K28" s="28" t="s">
        <v>512</v>
      </c>
      <c r="L28" s="44">
        <v>13012100</v>
      </c>
      <c r="M28" s="26">
        <v>1</v>
      </c>
      <c r="N28" s="26" t="s">
        <v>720</v>
      </c>
      <c r="O28" s="26">
        <v>2</v>
      </c>
      <c r="P28" s="28" t="s">
        <v>508</v>
      </c>
      <c r="Q28" s="26" t="s">
        <v>725</v>
      </c>
      <c r="R28" s="40"/>
      <c r="S28" s="26"/>
      <c r="T28" s="26"/>
    </row>
    <row r="29" spans="1:20">
      <c r="A29" s="25" t="s">
        <v>53</v>
      </c>
      <c r="B29" s="25" t="s">
        <v>56</v>
      </c>
      <c r="C29" s="31">
        <v>157100</v>
      </c>
      <c r="D29" s="26" t="s">
        <v>726</v>
      </c>
      <c r="E29" s="7" t="s">
        <v>457</v>
      </c>
      <c r="F29" s="7" t="s">
        <v>828</v>
      </c>
      <c r="G29" s="25" t="s">
        <v>111</v>
      </c>
      <c r="H29" s="25" t="s">
        <v>141</v>
      </c>
      <c r="I29" s="40">
        <f t="shared" si="0"/>
        <v>67588.81</v>
      </c>
      <c r="J29" s="28" t="s">
        <v>508</v>
      </c>
      <c r="K29" s="27"/>
      <c r="L29" s="44">
        <v>9680900</v>
      </c>
      <c r="M29" s="26">
        <v>1</v>
      </c>
      <c r="N29" s="26" t="s">
        <v>720</v>
      </c>
      <c r="O29" s="26">
        <v>2</v>
      </c>
      <c r="P29" s="28" t="s">
        <v>508</v>
      </c>
      <c r="Q29" s="26" t="s">
        <v>727</v>
      </c>
      <c r="R29" s="40"/>
      <c r="S29" s="26"/>
      <c r="T29" s="26"/>
    </row>
    <row r="30" spans="1:20">
      <c r="A30" s="25" t="s">
        <v>53</v>
      </c>
      <c r="B30" s="25" t="s">
        <v>56</v>
      </c>
      <c r="C30" s="31">
        <v>157105</v>
      </c>
      <c r="D30" s="26" t="s">
        <v>728</v>
      </c>
      <c r="E30" s="7" t="s">
        <v>457</v>
      </c>
      <c r="F30" s="7" t="s">
        <v>829</v>
      </c>
      <c r="G30" s="25" t="s">
        <v>111</v>
      </c>
      <c r="H30" s="25" t="s">
        <v>141</v>
      </c>
      <c r="I30" s="40">
        <f t="shared" si="0"/>
        <v>1118.99</v>
      </c>
      <c r="J30" s="28" t="s">
        <v>508</v>
      </c>
      <c r="K30" s="28" t="s">
        <v>512</v>
      </c>
      <c r="L30" s="44">
        <v>9680900</v>
      </c>
      <c r="M30" s="26">
        <v>1</v>
      </c>
      <c r="N30" s="26" t="s">
        <v>720</v>
      </c>
      <c r="O30" s="26">
        <v>2</v>
      </c>
      <c r="P30" s="28" t="s">
        <v>508</v>
      </c>
      <c r="Q30" s="26" t="s">
        <v>729</v>
      </c>
      <c r="R30" s="40"/>
      <c r="S30" s="26"/>
      <c r="T30" s="26"/>
    </row>
    <row r="31" spans="1:20">
      <c r="A31" s="25" t="s">
        <v>53</v>
      </c>
      <c r="B31" s="25" t="s">
        <v>56</v>
      </c>
      <c r="C31" s="31">
        <v>157110</v>
      </c>
      <c r="D31" s="26" t="s">
        <v>730</v>
      </c>
      <c r="E31" s="7" t="s">
        <v>707</v>
      </c>
      <c r="F31" s="7" t="s">
        <v>830</v>
      </c>
      <c r="G31" s="25" t="s">
        <v>48</v>
      </c>
      <c r="H31" s="25" t="s">
        <v>49</v>
      </c>
      <c r="I31" s="40">
        <f t="shared" si="0"/>
        <v>8686.66</v>
      </c>
      <c r="J31" s="28" t="s">
        <v>508</v>
      </c>
      <c r="K31" s="28" t="s">
        <v>512</v>
      </c>
      <c r="L31" s="44">
        <v>13012100</v>
      </c>
      <c r="M31" s="26">
        <v>1</v>
      </c>
      <c r="N31" s="26" t="s">
        <v>720</v>
      </c>
      <c r="O31" s="26">
        <v>2</v>
      </c>
      <c r="P31" s="28" t="s">
        <v>508</v>
      </c>
      <c r="Q31" s="26" t="s">
        <v>731</v>
      </c>
      <c r="R31" s="40"/>
      <c r="S31" s="26"/>
      <c r="T31" s="26"/>
    </row>
    <row r="32" spans="1:20">
      <c r="A32" s="25" t="s">
        <v>53</v>
      </c>
      <c r="B32" s="25" t="s">
        <v>56</v>
      </c>
      <c r="C32" s="31">
        <v>157128</v>
      </c>
      <c r="D32" s="26" t="s">
        <v>732</v>
      </c>
      <c r="E32" s="7" t="s">
        <v>733</v>
      </c>
      <c r="F32" s="7" t="s">
        <v>831</v>
      </c>
      <c r="G32" s="25" t="s">
        <v>48</v>
      </c>
      <c r="H32" s="25" t="s">
        <v>49</v>
      </c>
      <c r="I32" s="40">
        <f t="shared" si="0"/>
        <v>22457.14</v>
      </c>
      <c r="J32" s="28" t="s">
        <v>508</v>
      </c>
      <c r="K32" s="28" t="s">
        <v>512</v>
      </c>
      <c r="L32" s="44">
        <v>13012100</v>
      </c>
      <c r="M32" s="26">
        <v>1</v>
      </c>
      <c r="N32" s="26" t="s">
        <v>734</v>
      </c>
      <c r="O32" s="26">
        <v>2</v>
      </c>
      <c r="P32" s="28" t="s">
        <v>508</v>
      </c>
      <c r="Q32" s="26" t="s">
        <v>735</v>
      </c>
      <c r="R32" s="40"/>
      <c r="S32" s="26"/>
      <c r="T32" s="26"/>
    </row>
    <row r="33" spans="1:20">
      <c r="A33" s="25" t="s">
        <v>53</v>
      </c>
      <c r="B33" s="25" t="s">
        <v>56</v>
      </c>
      <c r="C33" s="31">
        <v>157129</v>
      </c>
      <c r="D33" s="26" t="s">
        <v>736</v>
      </c>
      <c r="E33" s="7" t="s">
        <v>737</v>
      </c>
      <c r="F33" s="7" t="s">
        <v>832</v>
      </c>
      <c r="G33" s="25" t="s">
        <v>48</v>
      </c>
      <c r="H33" s="25" t="s">
        <v>49</v>
      </c>
      <c r="I33" s="40">
        <f t="shared" si="0"/>
        <v>138189.32</v>
      </c>
      <c r="J33" s="28" t="s">
        <v>508</v>
      </c>
      <c r="K33" s="28" t="s">
        <v>512</v>
      </c>
      <c r="L33" s="44">
        <v>13012100</v>
      </c>
      <c r="M33" s="26">
        <v>1</v>
      </c>
      <c r="N33" s="26" t="s">
        <v>734</v>
      </c>
      <c r="O33" s="26">
        <v>2</v>
      </c>
      <c r="P33" s="28" t="s">
        <v>508</v>
      </c>
      <c r="Q33" s="26" t="s">
        <v>738</v>
      </c>
      <c r="R33" s="40"/>
      <c r="S33" s="26"/>
      <c r="T33" s="26"/>
    </row>
    <row r="34" spans="1:20">
      <c r="A34" s="25" t="s">
        <v>53</v>
      </c>
      <c r="B34" s="25" t="s">
        <v>56</v>
      </c>
      <c r="C34" s="31">
        <v>157161</v>
      </c>
      <c r="D34" s="26" t="s">
        <v>739</v>
      </c>
      <c r="E34" s="7" t="s">
        <v>737</v>
      </c>
      <c r="F34" s="7" t="s">
        <v>833</v>
      </c>
      <c r="G34" s="25" t="s">
        <v>48</v>
      </c>
      <c r="H34" s="25" t="s">
        <v>49</v>
      </c>
      <c r="I34" s="40">
        <f t="shared" si="0"/>
        <v>11191.39</v>
      </c>
      <c r="J34" s="28" t="s">
        <v>508</v>
      </c>
      <c r="K34" s="28" t="s">
        <v>512</v>
      </c>
      <c r="L34" s="44">
        <v>13012100</v>
      </c>
      <c r="M34" s="26">
        <v>1</v>
      </c>
      <c r="N34" s="26" t="s">
        <v>734</v>
      </c>
      <c r="O34" s="26">
        <v>2</v>
      </c>
      <c r="P34" s="28" t="s">
        <v>508</v>
      </c>
      <c r="Q34" s="26" t="s">
        <v>740</v>
      </c>
      <c r="R34" s="40"/>
      <c r="S34" s="26"/>
      <c r="T34" s="26"/>
    </row>
    <row r="35" spans="1:20">
      <c r="A35" s="25" t="s">
        <v>53</v>
      </c>
      <c r="B35" s="25" t="s">
        <v>56</v>
      </c>
      <c r="C35" s="31">
        <v>157163</v>
      </c>
      <c r="D35" s="26" t="s">
        <v>741</v>
      </c>
      <c r="E35" s="7" t="s">
        <v>733</v>
      </c>
      <c r="F35" s="7" t="s">
        <v>834</v>
      </c>
      <c r="G35" s="25" t="s">
        <v>48</v>
      </c>
      <c r="H35" s="25" t="s">
        <v>49</v>
      </c>
      <c r="I35" s="40">
        <f t="shared" si="0"/>
        <v>964.04</v>
      </c>
      <c r="J35" s="28" t="s">
        <v>508</v>
      </c>
      <c r="K35" s="28" t="s">
        <v>512</v>
      </c>
      <c r="L35" s="44">
        <v>13012100</v>
      </c>
      <c r="M35" s="26">
        <v>1</v>
      </c>
      <c r="N35" s="26" t="s">
        <v>734</v>
      </c>
      <c r="O35" s="26">
        <v>2</v>
      </c>
      <c r="P35" s="28" t="s">
        <v>508</v>
      </c>
      <c r="Q35" s="26" t="s">
        <v>742</v>
      </c>
      <c r="R35" s="40"/>
      <c r="S35" s="26"/>
      <c r="T35" s="26"/>
    </row>
    <row r="36" spans="1:20">
      <c r="A36" s="25" t="s">
        <v>53</v>
      </c>
      <c r="B36" s="25" t="s">
        <v>56</v>
      </c>
      <c r="C36" s="31">
        <v>157168</v>
      </c>
      <c r="D36" s="26" t="s">
        <v>743</v>
      </c>
      <c r="E36" s="7" t="s">
        <v>531</v>
      </c>
      <c r="F36" s="7" t="s">
        <v>835</v>
      </c>
      <c r="G36" s="25" t="s">
        <v>111</v>
      </c>
      <c r="H36" s="25" t="s">
        <v>141</v>
      </c>
      <c r="I36" s="40">
        <f t="shared" si="0"/>
        <v>55910.43</v>
      </c>
      <c r="J36" s="28" t="s">
        <v>508</v>
      </c>
      <c r="K36" s="28" t="s">
        <v>512</v>
      </c>
      <c r="L36" s="44">
        <v>9680900</v>
      </c>
      <c r="M36" s="26">
        <v>1</v>
      </c>
      <c r="N36" s="26" t="s">
        <v>734</v>
      </c>
      <c r="O36" s="26">
        <v>2</v>
      </c>
      <c r="P36" s="28" t="s">
        <v>508</v>
      </c>
      <c r="Q36" s="26" t="s">
        <v>744</v>
      </c>
      <c r="R36" s="40"/>
      <c r="S36" s="26"/>
      <c r="T36" s="26"/>
    </row>
    <row r="37" spans="1:20">
      <c r="A37" s="25" t="s">
        <v>53</v>
      </c>
      <c r="B37" s="25" t="s">
        <v>56</v>
      </c>
      <c r="C37" s="31">
        <v>157169</v>
      </c>
      <c r="D37" s="26" t="s">
        <v>745</v>
      </c>
      <c r="E37" s="7" t="s">
        <v>531</v>
      </c>
      <c r="F37" s="7" t="s">
        <v>836</v>
      </c>
      <c r="G37" s="25" t="s">
        <v>111</v>
      </c>
      <c r="H37" s="25" t="s">
        <v>141</v>
      </c>
      <c r="I37" s="40">
        <f t="shared" si="0"/>
        <v>6216.95</v>
      </c>
      <c r="J37" s="28" t="s">
        <v>508</v>
      </c>
      <c r="K37" s="28" t="s">
        <v>512</v>
      </c>
      <c r="L37" s="44">
        <v>9680900</v>
      </c>
      <c r="M37" s="26">
        <v>1</v>
      </c>
      <c r="N37" s="26" t="s">
        <v>734</v>
      </c>
      <c r="O37" s="26">
        <v>2</v>
      </c>
      <c r="P37" s="28" t="s">
        <v>508</v>
      </c>
      <c r="Q37" s="26" t="s">
        <v>746</v>
      </c>
      <c r="R37" s="40"/>
      <c r="S37" s="26"/>
      <c r="T37" s="26"/>
    </row>
    <row r="38" spans="1:20">
      <c r="A38" s="25" t="s">
        <v>53</v>
      </c>
      <c r="B38" s="25" t="s">
        <v>56</v>
      </c>
      <c r="C38" s="31">
        <v>157173</v>
      </c>
      <c r="D38" s="26" t="s">
        <v>747</v>
      </c>
      <c r="E38" s="7" t="s">
        <v>737</v>
      </c>
      <c r="F38" s="7" t="s">
        <v>837</v>
      </c>
      <c r="G38" s="25" t="s">
        <v>48</v>
      </c>
      <c r="H38" s="25" t="s">
        <v>49</v>
      </c>
      <c r="I38" s="40">
        <f t="shared" si="0"/>
        <v>19442.22</v>
      </c>
      <c r="J38" s="28" t="s">
        <v>508</v>
      </c>
      <c r="K38" s="28" t="s">
        <v>512</v>
      </c>
      <c r="L38" s="43" t="s">
        <v>571</v>
      </c>
      <c r="M38" s="26">
        <v>1</v>
      </c>
      <c r="N38" s="26" t="s">
        <v>734</v>
      </c>
      <c r="O38" s="26">
        <v>2</v>
      </c>
      <c r="P38" s="28" t="s">
        <v>508</v>
      </c>
      <c r="Q38" s="26" t="s">
        <v>748</v>
      </c>
      <c r="R38" s="40"/>
      <c r="S38" s="26"/>
      <c r="T38" s="26"/>
    </row>
    <row r="39" spans="1:20">
      <c r="A39" s="25" t="s">
        <v>53</v>
      </c>
      <c r="B39" s="25" t="s">
        <v>56</v>
      </c>
      <c r="C39" s="31">
        <v>157174</v>
      </c>
      <c r="D39" s="26" t="s">
        <v>749</v>
      </c>
      <c r="E39" s="7" t="s">
        <v>733</v>
      </c>
      <c r="F39" s="7" t="s">
        <v>838</v>
      </c>
      <c r="G39" s="25" t="s">
        <v>48</v>
      </c>
      <c r="H39" s="25" t="s">
        <v>49</v>
      </c>
      <c r="I39" s="40">
        <f t="shared" si="0"/>
        <v>14696.99</v>
      </c>
      <c r="J39" s="28" t="s">
        <v>508</v>
      </c>
      <c r="K39" s="28" t="s">
        <v>512</v>
      </c>
      <c r="L39" s="43" t="s">
        <v>571</v>
      </c>
      <c r="M39" s="26">
        <v>1</v>
      </c>
      <c r="N39" s="26" t="s">
        <v>750</v>
      </c>
      <c r="O39" s="26">
        <v>2</v>
      </c>
      <c r="P39" s="28" t="s">
        <v>508</v>
      </c>
      <c r="Q39" s="26" t="s">
        <v>751</v>
      </c>
      <c r="R39" s="40"/>
      <c r="S39" s="26"/>
      <c r="T39" s="26"/>
    </row>
    <row r="40" spans="1:20">
      <c r="A40" s="25" t="s">
        <v>53</v>
      </c>
      <c r="B40" s="25" t="s">
        <v>56</v>
      </c>
      <c r="C40" s="31">
        <v>157176</v>
      </c>
      <c r="D40" s="26" t="s">
        <v>752</v>
      </c>
      <c r="E40" s="7" t="s">
        <v>733</v>
      </c>
      <c r="F40" s="7" t="s">
        <v>839</v>
      </c>
      <c r="G40" s="25" t="s">
        <v>48</v>
      </c>
      <c r="H40" s="25" t="s">
        <v>49</v>
      </c>
      <c r="I40" s="40">
        <f t="shared" si="0"/>
        <v>11816.37</v>
      </c>
      <c r="J40" s="28" t="s">
        <v>508</v>
      </c>
      <c r="K40" s="28" t="s">
        <v>512</v>
      </c>
      <c r="L40" s="43" t="s">
        <v>571</v>
      </c>
      <c r="M40" s="26">
        <v>1</v>
      </c>
      <c r="N40" s="26" t="s">
        <v>750</v>
      </c>
      <c r="O40" s="26">
        <v>2</v>
      </c>
      <c r="P40" s="28" t="s">
        <v>508</v>
      </c>
      <c r="Q40" s="26" t="s">
        <v>753</v>
      </c>
      <c r="R40" s="40"/>
      <c r="S40" s="26"/>
      <c r="T40" s="26"/>
    </row>
    <row r="41" spans="1:20">
      <c r="A41" s="25" t="s">
        <v>53</v>
      </c>
      <c r="B41" s="25" t="s">
        <v>56</v>
      </c>
      <c r="C41" s="31">
        <v>157180</v>
      </c>
      <c r="D41" s="26" t="s">
        <v>754</v>
      </c>
      <c r="E41" s="7" t="s">
        <v>733</v>
      </c>
      <c r="F41" s="7" t="s">
        <v>840</v>
      </c>
      <c r="G41" s="25" t="s">
        <v>48</v>
      </c>
      <c r="H41" s="25" t="s">
        <v>49</v>
      </c>
      <c r="I41" s="40">
        <f t="shared" si="0"/>
        <v>20006.330000000002</v>
      </c>
      <c r="J41" s="28" t="s">
        <v>508</v>
      </c>
      <c r="K41" s="28" t="s">
        <v>512</v>
      </c>
      <c r="L41" s="43" t="s">
        <v>571</v>
      </c>
      <c r="M41" s="26">
        <v>1</v>
      </c>
      <c r="N41" s="26" t="s">
        <v>750</v>
      </c>
      <c r="O41" s="26">
        <v>2</v>
      </c>
      <c r="P41" s="28" t="s">
        <v>508</v>
      </c>
      <c r="Q41" s="26" t="s">
        <v>755</v>
      </c>
      <c r="R41" s="40"/>
      <c r="S41" s="26"/>
      <c r="T41" s="26"/>
    </row>
    <row r="42" spans="1:20">
      <c r="A42" s="25" t="s">
        <v>53</v>
      </c>
      <c r="B42" s="25" t="s">
        <v>56</v>
      </c>
      <c r="C42" s="31">
        <v>157211</v>
      </c>
      <c r="D42" s="26" t="s">
        <v>756</v>
      </c>
      <c r="E42" s="7" t="s">
        <v>531</v>
      </c>
      <c r="F42" s="7" t="s">
        <v>841</v>
      </c>
      <c r="G42" s="25" t="s">
        <v>111</v>
      </c>
      <c r="H42" s="25" t="s">
        <v>141</v>
      </c>
      <c r="I42" s="40">
        <f t="shared" si="0"/>
        <v>143628.69</v>
      </c>
      <c r="J42" s="28" t="s">
        <v>508</v>
      </c>
      <c r="K42" s="28" t="s">
        <v>512</v>
      </c>
      <c r="L42" s="43" t="s">
        <v>573</v>
      </c>
      <c r="M42" s="26">
        <v>1</v>
      </c>
      <c r="N42" s="26" t="s">
        <v>750</v>
      </c>
      <c r="O42" s="26">
        <v>2</v>
      </c>
      <c r="P42" s="28" t="s">
        <v>508</v>
      </c>
      <c r="Q42" s="26" t="s">
        <v>757</v>
      </c>
      <c r="R42" s="40"/>
      <c r="S42" s="26"/>
      <c r="T42" s="26"/>
    </row>
    <row r="43" spans="1:20">
      <c r="A43" s="25" t="s">
        <v>53</v>
      </c>
      <c r="B43" s="25" t="s">
        <v>56</v>
      </c>
      <c r="C43" s="31">
        <v>157212</v>
      </c>
      <c r="D43" s="26" t="s">
        <v>758</v>
      </c>
      <c r="E43" s="7" t="s">
        <v>531</v>
      </c>
      <c r="F43" s="7" t="s">
        <v>842</v>
      </c>
      <c r="G43" s="25" t="s">
        <v>111</v>
      </c>
      <c r="H43" s="25" t="s">
        <v>141</v>
      </c>
      <c r="I43" s="40">
        <f t="shared" si="0"/>
        <v>4016.63</v>
      </c>
      <c r="J43" s="28" t="s">
        <v>508</v>
      </c>
      <c r="K43" s="28" t="s">
        <v>512</v>
      </c>
      <c r="L43" s="43" t="s">
        <v>573</v>
      </c>
      <c r="M43" s="26">
        <v>1</v>
      </c>
      <c r="N43" s="26" t="s">
        <v>750</v>
      </c>
      <c r="O43" s="26">
        <v>2</v>
      </c>
      <c r="P43" s="28" t="s">
        <v>508</v>
      </c>
      <c r="Q43" s="26" t="s">
        <v>759</v>
      </c>
      <c r="R43" s="40"/>
      <c r="S43" s="26"/>
      <c r="T43" s="26"/>
    </row>
    <row r="44" spans="1:20">
      <c r="A44" s="25" t="s">
        <v>53</v>
      </c>
      <c r="B44" s="25" t="s">
        <v>56</v>
      </c>
      <c r="C44" s="31">
        <v>157213</v>
      </c>
      <c r="D44" s="26" t="s">
        <v>760</v>
      </c>
      <c r="E44" s="7" t="s">
        <v>531</v>
      </c>
      <c r="F44" s="7" t="s">
        <v>843</v>
      </c>
      <c r="G44" s="25" t="s">
        <v>111</v>
      </c>
      <c r="H44" s="25" t="s">
        <v>141</v>
      </c>
      <c r="I44" s="40">
        <f t="shared" si="0"/>
        <v>10421.39</v>
      </c>
      <c r="J44" s="28" t="s">
        <v>508</v>
      </c>
      <c r="K44" s="28" t="s">
        <v>512</v>
      </c>
      <c r="L44" s="43" t="s">
        <v>573</v>
      </c>
      <c r="M44" s="26">
        <v>1</v>
      </c>
      <c r="N44" s="26" t="s">
        <v>750</v>
      </c>
      <c r="O44" s="26">
        <v>2</v>
      </c>
      <c r="P44" s="28" t="s">
        <v>508</v>
      </c>
      <c r="Q44" s="26" t="s">
        <v>761</v>
      </c>
      <c r="R44" s="40"/>
      <c r="S44" s="26"/>
      <c r="T44" s="26"/>
    </row>
    <row r="45" spans="1:20">
      <c r="A45" s="25" t="s">
        <v>53</v>
      </c>
      <c r="B45" s="25" t="s">
        <v>56</v>
      </c>
      <c r="C45" s="31">
        <v>157214</v>
      </c>
      <c r="D45" s="26" t="s">
        <v>762</v>
      </c>
      <c r="E45" s="7" t="s">
        <v>531</v>
      </c>
      <c r="F45" s="7" t="s">
        <v>844</v>
      </c>
      <c r="G45" s="25" t="s">
        <v>111</v>
      </c>
      <c r="H45" s="25" t="s">
        <v>141</v>
      </c>
      <c r="I45" s="40">
        <f t="shared" si="0"/>
        <v>8217.06</v>
      </c>
      <c r="J45" s="28" t="s">
        <v>508</v>
      </c>
      <c r="K45" s="28" t="s">
        <v>512</v>
      </c>
      <c r="L45" s="43" t="s">
        <v>573</v>
      </c>
      <c r="M45" s="26">
        <v>1</v>
      </c>
      <c r="N45" s="26" t="s">
        <v>750</v>
      </c>
      <c r="O45" s="26">
        <v>2</v>
      </c>
      <c r="P45" s="28" t="s">
        <v>508</v>
      </c>
      <c r="Q45" s="26" t="s">
        <v>763</v>
      </c>
      <c r="R45" s="40"/>
      <c r="S45" s="26"/>
      <c r="T45" s="26"/>
    </row>
    <row r="46" spans="1:20">
      <c r="A46" s="25" t="s">
        <v>53</v>
      </c>
      <c r="B46" s="25" t="s">
        <v>56</v>
      </c>
      <c r="C46" s="31">
        <v>157218</v>
      </c>
      <c r="D46" s="26" t="s">
        <v>764</v>
      </c>
      <c r="E46" s="7" t="s">
        <v>733</v>
      </c>
      <c r="F46" s="7" t="s">
        <v>830</v>
      </c>
      <c r="G46" s="25" t="s">
        <v>48</v>
      </c>
      <c r="H46" s="25" t="s">
        <v>49</v>
      </c>
      <c r="I46" s="40">
        <f t="shared" si="0"/>
        <v>8686.66</v>
      </c>
      <c r="J46" s="28" t="s">
        <v>508</v>
      </c>
      <c r="K46" s="28" t="s">
        <v>512</v>
      </c>
      <c r="L46" s="43" t="s">
        <v>571</v>
      </c>
      <c r="M46" s="26">
        <v>1</v>
      </c>
      <c r="N46" s="26" t="s">
        <v>750</v>
      </c>
      <c r="O46" s="26">
        <v>2</v>
      </c>
      <c r="P46" s="28" t="s">
        <v>508</v>
      </c>
      <c r="Q46" s="26" t="s">
        <v>765</v>
      </c>
      <c r="R46" s="40"/>
      <c r="S46" s="26"/>
      <c r="T46" s="26"/>
    </row>
    <row r="47" spans="1:20">
      <c r="A47" s="25" t="s">
        <v>53</v>
      </c>
      <c r="B47" s="25" t="s">
        <v>56</v>
      </c>
      <c r="C47" s="31">
        <v>157219</v>
      </c>
      <c r="D47" s="26" t="s">
        <v>766</v>
      </c>
      <c r="E47" s="7" t="s">
        <v>733</v>
      </c>
      <c r="F47" s="7" t="s">
        <v>845</v>
      </c>
      <c r="G47" s="25" t="s">
        <v>48</v>
      </c>
      <c r="H47" s="25" t="s">
        <v>49</v>
      </c>
      <c r="I47" s="40">
        <f t="shared" si="0"/>
        <v>14460.54</v>
      </c>
      <c r="J47" s="28" t="s">
        <v>508</v>
      </c>
      <c r="K47" s="28" t="s">
        <v>512</v>
      </c>
      <c r="L47" s="43" t="s">
        <v>571</v>
      </c>
      <c r="M47" s="26">
        <v>1</v>
      </c>
      <c r="N47" s="26" t="s">
        <v>750</v>
      </c>
      <c r="O47" s="26">
        <v>2</v>
      </c>
      <c r="P47" s="28" t="s">
        <v>508</v>
      </c>
      <c r="Q47" s="26" t="s">
        <v>767</v>
      </c>
      <c r="R47" s="40"/>
      <c r="S47" s="26"/>
      <c r="T47" s="26"/>
    </row>
    <row r="48" spans="1:20">
      <c r="A48" s="25" t="s">
        <v>53</v>
      </c>
      <c r="B48" s="25" t="s">
        <v>56</v>
      </c>
      <c r="C48" s="31">
        <v>157223</v>
      </c>
      <c r="D48" s="26" t="s">
        <v>768</v>
      </c>
      <c r="E48" s="7" t="s">
        <v>769</v>
      </c>
      <c r="F48" s="7" t="s">
        <v>838</v>
      </c>
      <c r="G48" s="25" t="s">
        <v>48</v>
      </c>
      <c r="H48" s="25" t="s">
        <v>49</v>
      </c>
      <c r="I48" s="40">
        <f t="shared" si="0"/>
        <v>14696.99</v>
      </c>
      <c r="J48" s="28" t="s">
        <v>508</v>
      </c>
      <c r="K48" s="28" t="s">
        <v>512</v>
      </c>
      <c r="L48" s="43" t="s">
        <v>571</v>
      </c>
      <c r="M48" s="26">
        <v>1</v>
      </c>
      <c r="N48" s="26" t="s">
        <v>770</v>
      </c>
      <c r="O48" s="26">
        <v>2</v>
      </c>
      <c r="P48" s="28" t="s">
        <v>508</v>
      </c>
      <c r="Q48" s="26" t="s">
        <v>771</v>
      </c>
      <c r="R48" s="40"/>
      <c r="S48" s="26"/>
      <c r="T48" s="26"/>
    </row>
    <row r="49" spans="1:20">
      <c r="A49" s="25" t="s">
        <v>53</v>
      </c>
      <c r="B49" s="25" t="s">
        <v>56</v>
      </c>
      <c r="C49" s="31">
        <v>157224</v>
      </c>
      <c r="D49" s="26" t="s">
        <v>772</v>
      </c>
      <c r="E49" s="7" t="s">
        <v>769</v>
      </c>
      <c r="F49" s="7" t="s">
        <v>846</v>
      </c>
      <c r="G49" s="25" t="s">
        <v>48</v>
      </c>
      <c r="H49" s="25" t="s">
        <v>49</v>
      </c>
      <c r="I49" s="40">
        <f t="shared" si="0"/>
        <v>9417.4699999999993</v>
      </c>
      <c r="J49" s="28" t="s">
        <v>508</v>
      </c>
      <c r="K49" s="28" t="s">
        <v>512</v>
      </c>
      <c r="L49" s="43" t="s">
        <v>571</v>
      </c>
      <c r="M49" s="26">
        <v>1</v>
      </c>
      <c r="N49" s="26" t="s">
        <v>770</v>
      </c>
      <c r="O49" s="26">
        <v>2</v>
      </c>
      <c r="P49" s="28" t="s">
        <v>508</v>
      </c>
      <c r="Q49" s="26" t="s">
        <v>773</v>
      </c>
      <c r="R49" s="40"/>
      <c r="S49" s="26"/>
      <c r="T49" s="26"/>
    </row>
    <row r="50" spans="1:20">
      <c r="A50" s="25" t="s">
        <v>53</v>
      </c>
      <c r="B50" s="25" t="s">
        <v>56</v>
      </c>
      <c r="C50" s="31">
        <v>157227</v>
      </c>
      <c r="D50" s="26" t="s">
        <v>774</v>
      </c>
      <c r="E50" s="2" t="s">
        <v>775</v>
      </c>
      <c r="F50" s="7" t="s">
        <v>847</v>
      </c>
      <c r="G50" s="25" t="s">
        <v>48</v>
      </c>
      <c r="H50" s="25" t="s">
        <v>49</v>
      </c>
      <c r="I50" s="40">
        <f t="shared" si="0"/>
        <v>56983.33</v>
      </c>
      <c r="J50" s="28" t="s">
        <v>508</v>
      </c>
      <c r="K50" s="28" t="s">
        <v>512</v>
      </c>
      <c r="L50" s="43" t="s">
        <v>571</v>
      </c>
      <c r="M50" s="26">
        <v>1</v>
      </c>
      <c r="N50" s="26" t="s">
        <v>770</v>
      </c>
      <c r="O50" s="26">
        <v>2</v>
      </c>
      <c r="P50" s="28" t="s">
        <v>508</v>
      </c>
      <c r="Q50" s="26" t="s">
        <v>776</v>
      </c>
      <c r="R50" s="40"/>
      <c r="S50" s="26"/>
      <c r="T50" s="26"/>
    </row>
    <row r="51" spans="1:20">
      <c r="A51" s="25" t="s">
        <v>53</v>
      </c>
      <c r="B51" s="25" t="s">
        <v>56</v>
      </c>
      <c r="C51" s="31">
        <v>157234</v>
      </c>
      <c r="D51" s="26" t="s">
        <v>777</v>
      </c>
      <c r="E51" s="2" t="s">
        <v>769</v>
      </c>
      <c r="F51" s="7" t="s">
        <v>848</v>
      </c>
      <c r="G51" s="25" t="s">
        <v>48</v>
      </c>
      <c r="H51" s="25" t="s">
        <v>49</v>
      </c>
      <c r="I51" s="40">
        <f t="shared" si="0"/>
        <v>43492.480000000003</v>
      </c>
      <c r="J51" s="28" t="s">
        <v>508</v>
      </c>
      <c r="K51" s="28" t="s">
        <v>512</v>
      </c>
      <c r="L51" s="43" t="s">
        <v>571</v>
      </c>
      <c r="M51" s="26">
        <v>1</v>
      </c>
      <c r="N51" s="26" t="s">
        <v>770</v>
      </c>
      <c r="O51" s="26">
        <v>2</v>
      </c>
      <c r="P51" s="28" t="s">
        <v>508</v>
      </c>
      <c r="Q51" s="26" t="s">
        <v>778</v>
      </c>
      <c r="R51" s="40"/>
      <c r="S51" s="26"/>
      <c r="T51" s="26"/>
    </row>
    <row r="52" spans="1:20">
      <c r="A52" s="25" t="s">
        <v>53</v>
      </c>
      <c r="B52" s="25" t="s">
        <v>56</v>
      </c>
      <c r="C52" s="31">
        <v>157248</v>
      </c>
      <c r="D52" s="26" t="s">
        <v>779</v>
      </c>
      <c r="E52" s="2" t="s">
        <v>531</v>
      </c>
      <c r="F52" s="7" t="s">
        <v>849</v>
      </c>
      <c r="G52" s="25" t="s">
        <v>780</v>
      </c>
      <c r="H52" s="25" t="s">
        <v>141</v>
      </c>
      <c r="I52" s="40">
        <f t="shared" si="0"/>
        <v>36280.910000000003</v>
      </c>
      <c r="J52" s="28" t="s">
        <v>508</v>
      </c>
      <c r="K52" s="28" t="s">
        <v>512</v>
      </c>
      <c r="L52" s="43" t="s">
        <v>781</v>
      </c>
      <c r="M52" s="26">
        <v>1</v>
      </c>
      <c r="N52" s="26" t="s">
        <v>770</v>
      </c>
      <c r="O52" s="26">
        <v>2</v>
      </c>
      <c r="P52" s="28" t="s">
        <v>508</v>
      </c>
      <c r="Q52" s="26" t="s">
        <v>782</v>
      </c>
      <c r="R52" s="40"/>
      <c r="S52" s="26"/>
      <c r="T52" s="26"/>
    </row>
    <row r="53" spans="1:20">
      <c r="A53" s="25" t="s">
        <v>53</v>
      </c>
      <c r="B53" s="25" t="s">
        <v>56</v>
      </c>
      <c r="C53" s="31">
        <v>157304</v>
      </c>
      <c r="D53" s="26" t="s">
        <v>783</v>
      </c>
      <c r="E53" s="2" t="s">
        <v>784</v>
      </c>
      <c r="F53" s="7" t="s">
        <v>850</v>
      </c>
      <c r="G53" s="25" t="s">
        <v>48</v>
      </c>
      <c r="H53" s="25" t="s">
        <v>49</v>
      </c>
      <c r="I53" s="40">
        <f t="shared" si="0"/>
        <v>119094.21</v>
      </c>
      <c r="J53" s="28" t="s">
        <v>508</v>
      </c>
      <c r="K53" s="28" t="s">
        <v>512</v>
      </c>
      <c r="L53" s="43" t="s">
        <v>571</v>
      </c>
      <c r="M53" s="26">
        <v>1</v>
      </c>
      <c r="N53" s="26" t="s">
        <v>785</v>
      </c>
      <c r="O53" s="26">
        <v>2</v>
      </c>
      <c r="P53" s="28" t="s">
        <v>508</v>
      </c>
      <c r="Q53" s="26" t="s">
        <v>786</v>
      </c>
      <c r="R53" s="40"/>
      <c r="S53" s="26"/>
      <c r="T53" s="26"/>
    </row>
    <row r="54" spans="1:20">
      <c r="A54" s="25" t="s">
        <v>53</v>
      </c>
      <c r="B54" s="25" t="s">
        <v>56</v>
      </c>
      <c r="C54" s="31">
        <v>157336</v>
      </c>
      <c r="D54" s="26" t="s">
        <v>787</v>
      </c>
      <c r="E54" s="2" t="s">
        <v>531</v>
      </c>
      <c r="F54" s="7" t="s">
        <v>851</v>
      </c>
      <c r="G54" s="25" t="s">
        <v>111</v>
      </c>
      <c r="H54" s="25" t="s">
        <v>141</v>
      </c>
      <c r="I54" s="40">
        <f t="shared" si="0"/>
        <v>95903.8</v>
      </c>
      <c r="J54" s="28" t="s">
        <v>508</v>
      </c>
      <c r="K54" s="28" t="s">
        <v>512</v>
      </c>
      <c r="L54" s="43" t="s">
        <v>573</v>
      </c>
      <c r="M54" s="26">
        <v>1</v>
      </c>
      <c r="N54" s="26" t="s">
        <v>785</v>
      </c>
      <c r="O54" s="26">
        <v>2</v>
      </c>
      <c r="P54" s="28" t="s">
        <v>508</v>
      </c>
      <c r="Q54" s="26" t="s">
        <v>788</v>
      </c>
      <c r="R54" s="40"/>
      <c r="S54" s="26"/>
      <c r="T54" s="26"/>
    </row>
    <row r="55" spans="1:20">
      <c r="A55" s="25" t="s">
        <v>53</v>
      </c>
      <c r="B55" s="25" t="s">
        <v>56</v>
      </c>
      <c r="C55" s="31">
        <v>157337</v>
      </c>
      <c r="D55" s="26" t="s">
        <v>789</v>
      </c>
      <c r="E55" s="2" t="s">
        <v>531</v>
      </c>
      <c r="F55" s="7" t="s">
        <v>852</v>
      </c>
      <c r="G55" s="25" t="s">
        <v>111</v>
      </c>
      <c r="H55" s="25" t="s">
        <v>141</v>
      </c>
      <c r="I55" s="40">
        <f t="shared" si="0"/>
        <v>5210.6899999999996</v>
      </c>
      <c r="J55" s="28" t="s">
        <v>508</v>
      </c>
      <c r="K55" s="28" t="s">
        <v>512</v>
      </c>
      <c r="L55" s="43" t="s">
        <v>573</v>
      </c>
      <c r="M55" s="26">
        <v>1</v>
      </c>
      <c r="N55" s="26" t="s">
        <v>785</v>
      </c>
      <c r="O55" s="26">
        <v>2</v>
      </c>
      <c r="P55" s="28" t="s">
        <v>508</v>
      </c>
      <c r="Q55" s="26" t="s">
        <v>790</v>
      </c>
      <c r="R55" s="40"/>
      <c r="S55" s="26"/>
      <c r="T55" s="26"/>
    </row>
    <row r="56" spans="1:20">
      <c r="A56" s="25" t="s">
        <v>53</v>
      </c>
      <c r="B56" s="25" t="s">
        <v>56</v>
      </c>
      <c r="C56" s="31">
        <v>157338</v>
      </c>
      <c r="D56" s="26" t="s">
        <v>791</v>
      </c>
      <c r="E56" s="2" t="s">
        <v>531</v>
      </c>
      <c r="F56" s="7" t="s">
        <v>853</v>
      </c>
      <c r="G56" s="25" t="s">
        <v>111</v>
      </c>
      <c r="H56" s="25" t="s">
        <v>141</v>
      </c>
      <c r="I56" s="40">
        <f t="shared" si="0"/>
        <v>2008.32</v>
      </c>
      <c r="J56" s="28" t="s">
        <v>508</v>
      </c>
      <c r="K56" s="28" t="s">
        <v>512</v>
      </c>
      <c r="L56" s="43" t="s">
        <v>573</v>
      </c>
      <c r="M56" s="26">
        <v>1</v>
      </c>
      <c r="N56" s="26" t="s">
        <v>785</v>
      </c>
      <c r="O56" s="26">
        <v>2</v>
      </c>
      <c r="P56" s="28" t="s">
        <v>508</v>
      </c>
      <c r="Q56" s="26" t="s">
        <v>792</v>
      </c>
      <c r="R56" s="40"/>
      <c r="S56" s="26"/>
      <c r="T56" s="26"/>
    </row>
    <row r="57" spans="1:20">
      <c r="A57" s="25" t="s">
        <v>53</v>
      </c>
      <c r="B57" s="25" t="s">
        <v>56</v>
      </c>
      <c r="C57" s="31">
        <v>157339</v>
      </c>
      <c r="D57" s="26" t="s">
        <v>793</v>
      </c>
      <c r="E57" s="2" t="s">
        <v>531</v>
      </c>
      <c r="F57" s="7" t="s">
        <v>854</v>
      </c>
      <c r="G57" s="25" t="s">
        <v>111</v>
      </c>
      <c r="H57" s="25" t="s">
        <v>141</v>
      </c>
      <c r="I57" s="40">
        <f t="shared" si="0"/>
        <v>20189.07</v>
      </c>
      <c r="J57" s="28" t="s">
        <v>508</v>
      </c>
      <c r="K57" s="28" t="s">
        <v>512</v>
      </c>
      <c r="L57" s="43" t="s">
        <v>573</v>
      </c>
      <c r="M57" s="26">
        <v>1</v>
      </c>
      <c r="N57" s="26" t="s">
        <v>785</v>
      </c>
      <c r="O57" s="26">
        <v>2</v>
      </c>
      <c r="P57" s="28" t="s">
        <v>508</v>
      </c>
      <c r="Q57" s="26" t="s">
        <v>794</v>
      </c>
      <c r="R57" s="40"/>
      <c r="S57" s="26"/>
      <c r="T57" s="26"/>
    </row>
    <row r="58" spans="1:20">
      <c r="A58" s="25" t="s">
        <v>53</v>
      </c>
      <c r="B58" s="25" t="s">
        <v>56</v>
      </c>
      <c r="C58" s="31">
        <v>157346</v>
      </c>
      <c r="D58" s="26" t="s">
        <v>795</v>
      </c>
      <c r="E58" s="2" t="s">
        <v>775</v>
      </c>
      <c r="F58" s="7" t="s">
        <v>855</v>
      </c>
      <c r="G58" s="25" t="s">
        <v>48</v>
      </c>
      <c r="H58" s="25" t="s">
        <v>49</v>
      </c>
      <c r="I58" s="40">
        <f t="shared" si="0"/>
        <v>116684.12</v>
      </c>
      <c r="J58" s="28" t="s">
        <v>508</v>
      </c>
      <c r="K58" s="28" t="s">
        <v>512</v>
      </c>
      <c r="L58" s="43" t="s">
        <v>571</v>
      </c>
      <c r="M58" s="26">
        <v>1</v>
      </c>
      <c r="N58" s="26" t="s">
        <v>796</v>
      </c>
      <c r="O58" s="26">
        <v>2</v>
      </c>
      <c r="P58" s="28" t="s">
        <v>508</v>
      </c>
      <c r="Q58" s="26" t="s">
        <v>797</v>
      </c>
      <c r="R58" s="40"/>
      <c r="S58" s="26"/>
      <c r="T58" s="26"/>
    </row>
    <row r="59" spans="1:20">
      <c r="A59" s="25" t="s">
        <v>53</v>
      </c>
      <c r="B59" s="25" t="s">
        <v>56</v>
      </c>
      <c r="C59" s="31">
        <v>157385</v>
      </c>
      <c r="D59" s="26" t="s">
        <v>798</v>
      </c>
      <c r="E59" s="2" t="s">
        <v>531</v>
      </c>
      <c r="F59" s="7" t="s">
        <v>856</v>
      </c>
      <c r="G59" s="25" t="s">
        <v>111</v>
      </c>
      <c r="H59" s="25" t="s">
        <v>141</v>
      </c>
      <c r="I59" s="40">
        <f t="shared" si="0"/>
        <v>73494.320000000007</v>
      </c>
      <c r="J59" s="28" t="s">
        <v>508</v>
      </c>
      <c r="K59" s="28" t="s">
        <v>512</v>
      </c>
      <c r="L59" s="43" t="s">
        <v>573</v>
      </c>
      <c r="M59" s="26">
        <v>1</v>
      </c>
      <c r="N59" s="26" t="s">
        <v>796</v>
      </c>
      <c r="O59" s="26">
        <v>2</v>
      </c>
      <c r="P59" s="28" t="s">
        <v>508</v>
      </c>
      <c r="Q59" s="26" t="s">
        <v>799</v>
      </c>
      <c r="R59" s="40"/>
      <c r="S59" s="26"/>
      <c r="T59" s="26"/>
    </row>
    <row r="60" spans="1:20">
      <c r="A60" s="25" t="s">
        <v>53</v>
      </c>
      <c r="B60" s="25" t="s">
        <v>56</v>
      </c>
      <c r="C60" s="31">
        <v>157386</v>
      </c>
      <c r="D60" s="26" t="s">
        <v>800</v>
      </c>
      <c r="E60" s="2" t="s">
        <v>531</v>
      </c>
      <c r="F60" s="7" t="s">
        <v>857</v>
      </c>
      <c r="G60" s="25" t="s">
        <v>111</v>
      </c>
      <c r="H60" s="25" t="s">
        <v>141</v>
      </c>
      <c r="I60" s="40">
        <f t="shared" si="0"/>
        <v>7419.42</v>
      </c>
      <c r="J60" s="28" t="s">
        <v>508</v>
      </c>
      <c r="K60" s="28" t="s">
        <v>512</v>
      </c>
      <c r="L60" s="43" t="s">
        <v>573</v>
      </c>
      <c r="M60" s="26">
        <v>1</v>
      </c>
      <c r="N60" s="26" t="s">
        <v>796</v>
      </c>
      <c r="O60" s="26">
        <v>2</v>
      </c>
      <c r="P60" s="28" t="s">
        <v>508</v>
      </c>
      <c r="Q60" s="26" t="s">
        <v>801</v>
      </c>
      <c r="R60" s="40"/>
      <c r="S60" s="26"/>
      <c r="T60" s="26"/>
    </row>
    <row r="61" spans="1:20">
      <c r="A61" s="25"/>
      <c r="B61" s="25"/>
      <c r="C61" s="31"/>
      <c r="D61" s="26"/>
      <c r="E61" s="2"/>
      <c r="F61" s="7"/>
      <c r="G61" s="25"/>
      <c r="H61" s="25"/>
      <c r="I61" s="40"/>
      <c r="J61" s="28"/>
      <c r="K61" s="28" t="s">
        <v>512</v>
      </c>
      <c r="L61" s="43"/>
      <c r="M61" s="26"/>
      <c r="N61" s="26"/>
      <c r="O61" s="26"/>
      <c r="P61" s="28"/>
      <c r="Q61" s="26"/>
      <c r="R61" s="40"/>
      <c r="S61" s="26"/>
      <c r="T61" s="26"/>
    </row>
    <row r="62" spans="1:20">
      <c r="A62" s="25"/>
      <c r="B62" s="25"/>
      <c r="C62" s="31"/>
      <c r="D62" s="26"/>
      <c r="E62" s="2"/>
      <c r="F62" s="7"/>
      <c r="G62" s="25"/>
      <c r="H62" s="25"/>
      <c r="I62" s="40"/>
      <c r="J62" s="28"/>
      <c r="K62" s="28" t="s">
        <v>512</v>
      </c>
      <c r="L62" s="43"/>
      <c r="M62" s="26"/>
      <c r="N62" s="26"/>
      <c r="O62" s="26"/>
      <c r="P62" s="28"/>
      <c r="Q62" s="26"/>
      <c r="R62" s="40"/>
      <c r="S62" s="26"/>
      <c r="T62" s="26"/>
    </row>
    <row r="63" spans="1:20">
      <c r="A63" s="25"/>
      <c r="B63" s="25"/>
      <c r="C63" s="31"/>
      <c r="D63" s="26"/>
      <c r="E63" s="2"/>
      <c r="F63" s="7"/>
      <c r="G63" s="25"/>
      <c r="H63" s="25"/>
      <c r="I63" s="40"/>
      <c r="J63" s="28"/>
      <c r="K63" s="28" t="s">
        <v>512</v>
      </c>
      <c r="L63" s="43"/>
      <c r="M63" s="26"/>
      <c r="N63" s="26"/>
      <c r="O63" s="26"/>
      <c r="P63" s="28"/>
      <c r="Q63" s="26"/>
      <c r="R63" s="40"/>
      <c r="S63" s="26"/>
      <c r="T63" s="26"/>
    </row>
    <row r="64" spans="1:20">
      <c r="A64" s="25"/>
      <c r="B64" s="25"/>
      <c r="C64" s="31"/>
      <c r="D64" s="26"/>
      <c r="E64" s="2"/>
      <c r="F64" s="7"/>
      <c r="G64" s="25"/>
      <c r="H64" s="25"/>
      <c r="I64" s="40"/>
      <c r="J64" s="28"/>
      <c r="K64" s="28" t="s">
        <v>512</v>
      </c>
      <c r="L64" s="43"/>
      <c r="M64" s="26"/>
      <c r="N64" s="26"/>
      <c r="O64" s="26"/>
      <c r="P64" s="28"/>
      <c r="Q64" s="26"/>
      <c r="R64" s="40"/>
      <c r="S64" s="26"/>
      <c r="T64" s="26"/>
    </row>
    <row r="65" spans="1:20">
      <c r="A65" s="25"/>
      <c r="B65" s="25"/>
      <c r="C65" s="31"/>
      <c r="D65" s="26"/>
      <c r="E65" s="26"/>
      <c r="F65" s="28"/>
      <c r="G65" s="25"/>
      <c r="H65" s="25"/>
      <c r="I65" s="40"/>
      <c r="J65" s="28"/>
      <c r="K65" s="28" t="s">
        <v>512</v>
      </c>
      <c r="L65" s="43"/>
      <c r="M65" s="26"/>
      <c r="N65" s="26"/>
      <c r="O65" s="26"/>
      <c r="P65" s="28"/>
      <c r="Q65" s="26"/>
      <c r="R65" s="40"/>
      <c r="S65" s="26"/>
      <c r="T65" s="26"/>
    </row>
    <row r="66" spans="1:20">
      <c r="A66" s="25"/>
      <c r="B66" s="25"/>
      <c r="C66" s="31"/>
      <c r="D66" s="26"/>
      <c r="E66" s="26"/>
      <c r="F66" s="28"/>
      <c r="G66" s="25"/>
      <c r="H66" s="25"/>
      <c r="I66" s="40"/>
      <c r="J66" s="28"/>
      <c r="K66" s="28" t="s">
        <v>512</v>
      </c>
      <c r="L66" s="43"/>
      <c r="M66" s="26"/>
      <c r="N66" s="26"/>
      <c r="O66" s="26"/>
      <c r="P66" s="28"/>
      <c r="Q66" s="26"/>
      <c r="R66" s="40"/>
      <c r="S66" s="26"/>
      <c r="T66" s="26"/>
    </row>
    <row r="67" spans="1:20">
      <c r="A67" s="25"/>
      <c r="B67" s="25"/>
      <c r="C67" s="31"/>
      <c r="D67" s="26"/>
      <c r="E67" s="26"/>
      <c r="F67" s="28"/>
      <c r="G67" s="25"/>
      <c r="H67" s="25"/>
      <c r="I67" s="40"/>
      <c r="J67" s="28"/>
      <c r="K67" s="28" t="s">
        <v>512</v>
      </c>
      <c r="L67" s="43"/>
      <c r="M67" s="26"/>
      <c r="N67" s="26"/>
      <c r="O67" s="26"/>
      <c r="P67" s="28"/>
      <c r="Q67" s="26"/>
      <c r="R67" s="40"/>
      <c r="S67" s="26"/>
      <c r="T67" s="26"/>
    </row>
    <row r="68" spans="1:20">
      <c r="A68" s="25"/>
      <c r="B68" s="25"/>
      <c r="C68" s="31"/>
      <c r="D68" s="26"/>
      <c r="E68" s="26"/>
      <c r="F68" s="28"/>
      <c r="G68" s="25"/>
      <c r="H68" s="25"/>
      <c r="I68" s="40"/>
      <c r="J68" s="28"/>
      <c r="K68" s="28" t="s">
        <v>512</v>
      </c>
      <c r="L68" s="43"/>
      <c r="M68" s="26"/>
      <c r="N68" s="26"/>
      <c r="O68" s="26"/>
      <c r="P68" s="28"/>
      <c r="Q68" s="26"/>
      <c r="R68" s="40"/>
      <c r="S68" s="26"/>
      <c r="T68" s="26"/>
    </row>
    <row r="69" spans="1:20">
      <c r="A69" s="25"/>
      <c r="B69" s="25"/>
      <c r="C69" s="31"/>
      <c r="D69" s="26"/>
      <c r="E69" s="26"/>
      <c r="F69" s="28"/>
      <c r="G69" s="25"/>
      <c r="H69" s="25"/>
      <c r="I69" s="40"/>
      <c r="J69" s="28"/>
      <c r="K69" s="28"/>
      <c r="L69" s="43"/>
      <c r="M69" s="26"/>
      <c r="N69" s="26"/>
      <c r="O69" s="26"/>
      <c r="P69" s="28"/>
      <c r="Q69" s="26"/>
      <c r="R69" s="40"/>
      <c r="S69" s="26"/>
      <c r="T69" s="26"/>
    </row>
    <row r="70" spans="1:20">
      <c r="A70" s="25"/>
      <c r="B70" s="25"/>
      <c r="C70" s="31"/>
      <c r="D70" s="26"/>
      <c r="E70" s="26"/>
      <c r="F70" s="28"/>
      <c r="G70" s="25"/>
      <c r="H70" s="25"/>
      <c r="I70" s="40"/>
      <c r="J70" s="28"/>
      <c r="K70" s="28"/>
      <c r="L70" s="43"/>
      <c r="M70" s="26"/>
      <c r="N70" s="26"/>
      <c r="O70" s="26"/>
      <c r="P70" s="28"/>
      <c r="Q70" s="26"/>
      <c r="R70" s="40"/>
      <c r="S70" s="26"/>
      <c r="T70" s="26"/>
    </row>
    <row r="71" spans="1:20">
      <c r="A71" s="25"/>
      <c r="B71" s="25"/>
      <c r="C71" s="31"/>
      <c r="D71" s="26"/>
      <c r="E71" s="26"/>
      <c r="F71" s="28"/>
      <c r="G71" s="25"/>
      <c r="H71" s="25"/>
      <c r="I71" s="40"/>
      <c r="J71" s="28"/>
      <c r="K71" s="28"/>
      <c r="L71" s="43"/>
      <c r="M71" s="26"/>
      <c r="N71" s="26"/>
      <c r="O71" s="26"/>
      <c r="P71" s="28"/>
      <c r="Q71" s="26"/>
      <c r="R71" s="40"/>
      <c r="S71" s="26"/>
      <c r="T71" s="26"/>
    </row>
    <row r="72" spans="1:20">
      <c r="A72" s="25"/>
      <c r="B72" s="25"/>
      <c r="C72" s="31"/>
      <c r="D72" s="26"/>
      <c r="E72" s="26"/>
      <c r="F72" s="28"/>
      <c r="G72" s="25"/>
      <c r="H72" s="25"/>
      <c r="I72" s="40"/>
      <c r="J72" s="28"/>
      <c r="K72" s="28"/>
      <c r="L72" s="43"/>
      <c r="M72" s="26"/>
      <c r="N72" s="26"/>
      <c r="O72" s="26"/>
      <c r="P72" s="28"/>
      <c r="Q72" s="26"/>
      <c r="R72" s="40"/>
      <c r="S72" s="26"/>
      <c r="T72" s="26"/>
    </row>
    <row r="73" spans="1:20">
      <c r="A73" s="25"/>
      <c r="B73" s="25"/>
      <c r="C73" s="31"/>
      <c r="D73" s="26"/>
      <c r="E73" s="26"/>
      <c r="F73" s="28"/>
      <c r="G73" s="25"/>
      <c r="H73" s="25"/>
      <c r="I73" s="40"/>
      <c r="J73" s="28"/>
      <c r="K73" s="28"/>
      <c r="L73" s="43"/>
      <c r="M73" s="26"/>
      <c r="N73" s="26"/>
      <c r="O73" s="26"/>
      <c r="P73" s="28"/>
      <c r="Q73" s="26"/>
      <c r="R73" s="40"/>
      <c r="S73" s="26"/>
      <c r="T73" s="26"/>
    </row>
    <row r="74" spans="1:20">
      <c r="A74" s="25"/>
      <c r="B74" s="25"/>
      <c r="C74" s="31"/>
      <c r="D74" s="26"/>
      <c r="E74" s="26"/>
      <c r="F74" s="28"/>
      <c r="G74" s="25"/>
      <c r="H74" s="25"/>
      <c r="I74" s="40"/>
      <c r="J74" s="28"/>
      <c r="K74" s="28"/>
      <c r="L74" s="28"/>
      <c r="M74" s="26"/>
      <c r="N74" s="26"/>
      <c r="O74" s="26"/>
      <c r="P74" s="28"/>
      <c r="Q74" s="26"/>
      <c r="R74" s="40"/>
      <c r="S74" s="26"/>
      <c r="T74" s="26"/>
    </row>
    <row r="75" spans="1:20">
      <c r="A75" s="25"/>
      <c r="B75" s="25"/>
      <c r="C75" s="31"/>
      <c r="D75" s="26"/>
      <c r="E75" s="26"/>
      <c r="F75" s="28"/>
      <c r="G75" s="25"/>
      <c r="H75" s="25"/>
      <c r="I75" s="40"/>
      <c r="J75" s="28"/>
      <c r="K75" s="28"/>
      <c r="L75" s="28"/>
      <c r="M75" s="26"/>
      <c r="N75" s="26"/>
      <c r="O75" s="26"/>
      <c r="P75" s="28"/>
      <c r="Q75" s="26"/>
      <c r="R75" s="40"/>
      <c r="S75" s="26"/>
      <c r="T75" s="26"/>
    </row>
    <row r="76" spans="1:20">
      <c r="A76" s="25"/>
      <c r="B76" s="25"/>
      <c r="C76" s="31"/>
      <c r="D76" s="26"/>
      <c r="E76" s="26"/>
      <c r="F76" s="28"/>
      <c r="G76" s="25"/>
      <c r="H76" s="25"/>
      <c r="I76" s="40"/>
      <c r="J76" s="28"/>
      <c r="K76" s="28"/>
      <c r="L76" s="28"/>
      <c r="M76" s="26"/>
      <c r="N76" s="26"/>
      <c r="O76" s="26"/>
      <c r="P76" s="28"/>
      <c r="Q76" s="26"/>
      <c r="R76" s="40"/>
      <c r="S76" s="26"/>
      <c r="T76" s="26"/>
    </row>
    <row r="77" spans="1:20">
      <c r="A77" s="25"/>
      <c r="B77" s="25"/>
      <c r="C77" s="31"/>
      <c r="D77" s="26"/>
      <c r="E77" s="26"/>
      <c r="F77" s="28"/>
      <c r="G77" s="25"/>
      <c r="H77" s="25"/>
      <c r="I77" s="40"/>
      <c r="J77" s="28"/>
      <c r="K77" s="28"/>
      <c r="L77" s="28"/>
      <c r="M77" s="26"/>
      <c r="N77" s="26"/>
      <c r="O77" s="26"/>
      <c r="P77" s="28"/>
      <c r="Q77" s="26"/>
      <c r="R77" s="40"/>
      <c r="S77" s="26"/>
      <c r="T77" s="26"/>
    </row>
    <row r="78" spans="1:20">
      <c r="A78" s="25"/>
      <c r="B78" s="25"/>
      <c r="C78" s="31"/>
      <c r="D78" s="26"/>
      <c r="E78" s="26"/>
      <c r="F78" s="28"/>
      <c r="G78" s="25"/>
      <c r="H78" s="25"/>
      <c r="I78" s="40"/>
      <c r="J78" s="28"/>
      <c r="K78" s="28"/>
      <c r="L78" s="28"/>
      <c r="M78" s="26"/>
      <c r="N78" s="26"/>
      <c r="O78" s="26"/>
      <c r="P78" s="28"/>
      <c r="Q78" s="26"/>
      <c r="R78" s="40"/>
      <c r="S78" s="26"/>
      <c r="T78" s="26"/>
    </row>
    <row r="79" spans="1:20">
      <c r="A79" s="25"/>
      <c r="B79" s="25"/>
      <c r="C79" s="31"/>
      <c r="D79" s="26"/>
      <c r="E79" s="26"/>
      <c r="F79" s="28"/>
      <c r="G79" s="25"/>
      <c r="H79" s="25"/>
      <c r="I79" s="40"/>
      <c r="J79" s="28"/>
      <c r="K79" s="28"/>
      <c r="L79" s="28"/>
      <c r="M79" s="26"/>
      <c r="N79" s="26"/>
      <c r="O79" s="26"/>
      <c r="P79" s="28"/>
      <c r="Q79" s="26"/>
      <c r="R79" s="40"/>
      <c r="S79" s="26"/>
      <c r="T79" s="26"/>
    </row>
    <row r="80" spans="1:20">
      <c r="A80" s="25"/>
      <c r="B80" s="25"/>
      <c r="C80" s="31"/>
      <c r="D80" s="26"/>
      <c r="E80" s="26"/>
      <c r="F80" s="28"/>
      <c r="G80" s="25"/>
      <c r="H80" s="25"/>
      <c r="I80" s="40"/>
      <c r="J80" s="28"/>
      <c r="K80" s="28"/>
      <c r="L80" s="28"/>
      <c r="M80" s="26"/>
      <c r="N80" s="26"/>
      <c r="O80" s="26"/>
      <c r="P80" s="28"/>
      <c r="Q80" s="26"/>
      <c r="R80" s="40"/>
      <c r="S80" s="26"/>
      <c r="T80" s="26"/>
    </row>
    <row r="81" spans="1:20">
      <c r="A81" s="25"/>
      <c r="B81" s="25"/>
      <c r="C81" s="31"/>
      <c r="D81" s="26"/>
      <c r="E81" s="26"/>
      <c r="F81" s="28"/>
      <c r="G81" s="25"/>
      <c r="H81" s="25"/>
      <c r="I81" s="40"/>
      <c r="J81" s="28"/>
      <c r="K81" s="28"/>
      <c r="L81" s="28"/>
      <c r="M81" s="26"/>
      <c r="N81" s="26"/>
      <c r="O81" s="26"/>
      <c r="P81" s="28"/>
      <c r="Q81" s="26"/>
      <c r="R81" s="40"/>
      <c r="S81" s="26"/>
      <c r="T81" s="26"/>
    </row>
    <row r="82" spans="1:20">
      <c r="A82" s="25"/>
      <c r="B82" s="25"/>
      <c r="C82" s="31"/>
      <c r="D82" s="26"/>
      <c r="E82" s="26"/>
      <c r="F82" s="28"/>
      <c r="G82" s="25"/>
      <c r="H82" s="25"/>
      <c r="I82" s="40"/>
      <c r="J82" s="28"/>
      <c r="K82" s="28"/>
      <c r="L82" s="28"/>
      <c r="M82" s="26"/>
      <c r="N82" s="26"/>
      <c r="O82" s="26"/>
      <c r="P82" s="28"/>
      <c r="Q82" s="26"/>
      <c r="R82" s="40"/>
      <c r="S82" s="26"/>
      <c r="T82" s="26"/>
    </row>
    <row r="83" spans="1:20">
      <c r="A83" s="25"/>
      <c r="B83" s="25"/>
      <c r="C83" s="31"/>
      <c r="D83" s="26"/>
      <c r="E83" s="26"/>
      <c r="F83" s="28"/>
      <c r="G83" s="25"/>
      <c r="H83" s="25"/>
      <c r="I83" s="40"/>
      <c r="J83" s="28"/>
      <c r="K83" s="28"/>
      <c r="L83" s="28"/>
      <c r="M83" s="26"/>
      <c r="N83" s="26"/>
      <c r="O83" s="26"/>
      <c r="P83" s="28"/>
      <c r="Q83" s="26"/>
      <c r="R83" s="40"/>
      <c r="S83" s="26"/>
      <c r="T83" s="26"/>
    </row>
    <row r="84" spans="1:20">
      <c r="A84" s="25"/>
      <c r="B84" s="25"/>
      <c r="C84" s="31"/>
      <c r="D84" s="26"/>
      <c r="E84" s="26"/>
      <c r="F84" s="28"/>
      <c r="G84" s="25"/>
      <c r="H84" s="25"/>
      <c r="I84" s="40"/>
      <c r="J84" s="28"/>
      <c r="K84" s="28"/>
      <c r="L84" s="28"/>
      <c r="M84" s="26"/>
      <c r="N84" s="26"/>
      <c r="O84" s="26"/>
      <c r="P84" s="28"/>
      <c r="Q84" s="26"/>
      <c r="R84" s="40"/>
      <c r="S84" s="26"/>
      <c r="T84" s="26"/>
    </row>
    <row r="85" spans="1:20">
      <c r="A85" s="25"/>
      <c r="B85" s="25"/>
      <c r="C85" s="31"/>
      <c r="D85" s="26"/>
      <c r="E85" s="26"/>
      <c r="F85" s="28"/>
      <c r="G85" s="25"/>
      <c r="H85" s="25"/>
      <c r="I85" s="40"/>
      <c r="J85" s="28"/>
      <c r="K85" s="28"/>
      <c r="L85" s="28"/>
      <c r="M85" s="26"/>
      <c r="N85" s="26"/>
      <c r="O85" s="26"/>
      <c r="P85" s="28"/>
      <c r="Q85" s="26"/>
      <c r="R85" s="40"/>
      <c r="S85" s="26"/>
      <c r="T85" s="26"/>
    </row>
    <row r="86" spans="1:20">
      <c r="A86" s="25"/>
      <c r="B86" s="25"/>
      <c r="C86" s="31"/>
      <c r="D86" s="26"/>
      <c r="E86" s="26"/>
      <c r="F86" s="28"/>
      <c r="G86" s="25"/>
      <c r="H86" s="25"/>
      <c r="I86" s="40"/>
      <c r="J86" s="28"/>
      <c r="K86" s="28"/>
      <c r="L86" s="28"/>
      <c r="M86" s="26"/>
      <c r="N86" s="26"/>
      <c r="O86" s="26"/>
      <c r="P86" s="28"/>
      <c r="Q86" s="26"/>
      <c r="R86" s="40"/>
      <c r="S86" s="26"/>
      <c r="T86" s="26"/>
    </row>
    <row r="87" spans="1:20">
      <c r="A87" s="25"/>
      <c r="B87" s="25"/>
      <c r="C87" s="31"/>
      <c r="D87" s="26"/>
      <c r="E87" s="26"/>
      <c r="F87" s="28"/>
      <c r="G87" s="25"/>
      <c r="H87" s="25"/>
      <c r="I87" s="40"/>
      <c r="J87" s="28"/>
      <c r="K87" s="28"/>
      <c r="L87" s="28"/>
      <c r="M87" s="26"/>
      <c r="N87" s="26"/>
      <c r="O87" s="26"/>
      <c r="P87" s="28"/>
      <c r="Q87" s="26"/>
      <c r="R87" s="40"/>
      <c r="S87" s="26"/>
      <c r="T87" s="26"/>
    </row>
    <row r="88" spans="1:20">
      <c r="A88" s="25"/>
      <c r="B88" s="25"/>
      <c r="C88" s="31"/>
      <c r="D88" s="26"/>
      <c r="E88" s="26"/>
      <c r="F88" s="28"/>
      <c r="G88" s="25"/>
      <c r="H88" s="25"/>
      <c r="I88" s="40"/>
      <c r="J88" s="28"/>
      <c r="K88" s="28"/>
      <c r="L88" s="28"/>
      <c r="M88" s="26"/>
      <c r="N88" s="26"/>
      <c r="O88" s="26"/>
      <c r="P88" s="28"/>
      <c r="Q88" s="26"/>
      <c r="R88" s="40"/>
      <c r="S88" s="26"/>
      <c r="T88" s="26"/>
    </row>
    <row r="89" spans="1:20">
      <c r="A89" s="25"/>
      <c r="B89" s="25"/>
      <c r="C89" s="31"/>
      <c r="D89" s="26"/>
      <c r="E89" s="26"/>
      <c r="F89" s="28"/>
      <c r="G89" s="25"/>
      <c r="H89" s="25"/>
      <c r="I89" s="40"/>
      <c r="J89" s="28"/>
      <c r="K89" s="28"/>
      <c r="L89" s="28"/>
      <c r="M89" s="26"/>
      <c r="N89" s="26"/>
      <c r="O89" s="26"/>
      <c r="P89" s="28"/>
      <c r="Q89" s="26"/>
      <c r="R89" s="40"/>
      <c r="S89" s="26"/>
      <c r="T89" s="26"/>
    </row>
    <row r="90" spans="1:20">
      <c r="A90" s="25"/>
      <c r="B90" s="25"/>
      <c r="C90" s="31"/>
      <c r="D90" s="26"/>
      <c r="E90" s="26"/>
      <c r="F90" s="28"/>
      <c r="G90" s="25"/>
      <c r="H90" s="25"/>
      <c r="I90" s="40"/>
      <c r="J90" s="28"/>
      <c r="K90" s="28"/>
      <c r="L90" s="28"/>
      <c r="M90" s="26"/>
      <c r="N90" s="26"/>
      <c r="O90" s="26"/>
      <c r="P90" s="28"/>
      <c r="Q90" s="26"/>
      <c r="R90" s="40"/>
      <c r="S90" s="26"/>
      <c r="T90" s="26"/>
    </row>
    <row r="91" spans="1:20">
      <c r="A91" s="25"/>
      <c r="B91" s="25"/>
      <c r="C91" s="31"/>
      <c r="D91" s="26"/>
      <c r="E91" s="26"/>
      <c r="F91" s="28"/>
      <c r="G91" s="25"/>
      <c r="H91" s="25"/>
      <c r="I91" s="40"/>
      <c r="J91" s="28"/>
      <c r="K91" s="28"/>
      <c r="L91" s="28"/>
      <c r="M91" s="26"/>
      <c r="N91" s="26"/>
      <c r="O91" s="26"/>
      <c r="P91" s="28"/>
      <c r="Q91" s="26"/>
      <c r="R91" s="40"/>
      <c r="S91" s="26"/>
      <c r="T91" s="26"/>
    </row>
    <row r="92" spans="1:20">
      <c r="A92" s="25"/>
      <c r="B92" s="25"/>
      <c r="C92" s="31"/>
      <c r="D92" s="26"/>
      <c r="E92" s="26"/>
      <c r="F92" s="28"/>
      <c r="G92" s="25"/>
      <c r="H92" s="25"/>
      <c r="I92" s="40"/>
      <c r="J92" s="28"/>
      <c r="K92" s="28"/>
      <c r="L92" s="28"/>
      <c r="M92" s="26"/>
      <c r="N92" s="26"/>
      <c r="O92" s="26"/>
      <c r="P92" s="28"/>
      <c r="Q92" s="26"/>
      <c r="R92" s="40"/>
      <c r="S92" s="26"/>
      <c r="T92" s="26"/>
    </row>
    <row r="93" spans="1:20">
      <c r="A93" s="25"/>
      <c r="B93" s="25"/>
      <c r="C93" s="31"/>
      <c r="D93" s="26"/>
      <c r="E93" s="26"/>
      <c r="F93" s="28"/>
      <c r="G93" s="25"/>
      <c r="H93" s="25"/>
      <c r="I93" s="40"/>
      <c r="J93" s="28"/>
      <c r="K93" s="28"/>
      <c r="L93" s="28"/>
      <c r="M93" s="26"/>
      <c r="N93" s="26"/>
      <c r="O93" s="26"/>
      <c r="P93" s="28"/>
      <c r="Q93" s="26"/>
      <c r="R93" s="40"/>
      <c r="S93" s="26"/>
      <c r="T93" s="26"/>
    </row>
    <row r="94" spans="1:20">
      <c r="A94" s="25"/>
      <c r="B94" s="25"/>
      <c r="C94" s="31"/>
      <c r="D94" s="26"/>
      <c r="E94" s="26"/>
      <c r="F94" s="28"/>
      <c r="G94" s="25"/>
      <c r="H94" s="25"/>
      <c r="I94" s="40"/>
      <c r="J94" s="28"/>
      <c r="K94" s="28"/>
      <c r="L94" s="28"/>
      <c r="M94" s="26"/>
      <c r="N94" s="26"/>
      <c r="O94" s="26"/>
      <c r="P94" s="28"/>
      <c r="Q94" s="26"/>
      <c r="R94" s="40"/>
      <c r="S94" s="26"/>
      <c r="T94" s="26"/>
    </row>
    <row r="95" spans="1:20">
      <c r="A95" s="25"/>
      <c r="B95" s="25"/>
      <c r="C95" s="31"/>
      <c r="D95" s="26"/>
      <c r="E95" s="26"/>
      <c r="F95" s="28"/>
      <c r="G95" s="25"/>
      <c r="H95" s="25"/>
      <c r="I95" s="40"/>
      <c r="J95" s="28"/>
      <c r="K95" s="28"/>
      <c r="L95" s="28"/>
      <c r="M95" s="26"/>
      <c r="N95" s="26"/>
      <c r="O95" s="26"/>
      <c r="P95" s="28"/>
      <c r="Q95" s="26"/>
      <c r="R95" s="40"/>
      <c r="S95" s="26"/>
      <c r="T95" s="26"/>
    </row>
    <row r="96" spans="1:20">
      <c r="A96" s="25"/>
      <c r="B96" s="25"/>
      <c r="C96" s="31"/>
      <c r="D96" s="26"/>
      <c r="E96" s="26"/>
      <c r="F96" s="28"/>
      <c r="G96" s="25"/>
      <c r="H96" s="25"/>
      <c r="I96" s="40"/>
      <c r="J96" s="28"/>
      <c r="K96" s="28"/>
      <c r="L96" s="28"/>
      <c r="M96" s="26"/>
      <c r="N96" s="26"/>
      <c r="O96" s="26"/>
      <c r="P96" s="28"/>
      <c r="Q96" s="26"/>
      <c r="R96" s="40"/>
      <c r="S96" s="26"/>
      <c r="T96" s="26"/>
    </row>
    <row r="97" spans="1:20">
      <c r="A97" s="25"/>
      <c r="B97" s="25"/>
      <c r="C97" s="31"/>
      <c r="D97" s="26"/>
      <c r="E97" s="26"/>
      <c r="F97" s="28"/>
      <c r="G97" s="25"/>
      <c r="H97" s="25"/>
      <c r="I97" s="40"/>
      <c r="J97" s="28"/>
      <c r="K97" s="28"/>
      <c r="L97" s="28"/>
      <c r="M97" s="26"/>
      <c r="N97" s="26"/>
      <c r="O97" s="26"/>
      <c r="P97" s="28"/>
      <c r="Q97" s="26"/>
      <c r="R97" s="40"/>
      <c r="S97" s="26"/>
      <c r="T97" s="26"/>
    </row>
    <row r="98" spans="1:20">
      <c r="A98" s="25"/>
      <c r="B98" s="25"/>
      <c r="C98" s="31"/>
      <c r="D98" s="26"/>
      <c r="E98" s="26"/>
      <c r="F98" s="28"/>
      <c r="G98" s="25"/>
      <c r="H98" s="25"/>
      <c r="I98" s="40"/>
      <c r="J98" s="28"/>
      <c r="K98" s="28"/>
      <c r="L98" s="28"/>
      <c r="M98" s="26"/>
      <c r="N98" s="26"/>
      <c r="O98" s="26"/>
      <c r="P98" s="28"/>
      <c r="Q98" s="26"/>
      <c r="R98" s="40"/>
      <c r="S98" s="26"/>
      <c r="T98" s="26"/>
    </row>
    <row r="99" spans="1:20">
      <c r="A99" s="25"/>
      <c r="B99" s="25"/>
      <c r="C99" s="31"/>
      <c r="D99" s="26"/>
      <c r="E99" s="26"/>
      <c r="F99" s="28"/>
      <c r="G99" s="25"/>
      <c r="H99" s="25"/>
      <c r="I99" s="40"/>
      <c r="J99" s="28"/>
      <c r="K99" s="28"/>
      <c r="L99" s="28"/>
      <c r="M99" s="26"/>
      <c r="N99" s="26"/>
      <c r="O99" s="26"/>
      <c r="P99" s="28"/>
      <c r="Q99" s="26"/>
      <c r="R99" s="40"/>
      <c r="S99" s="26"/>
      <c r="T99" s="26"/>
    </row>
    <row r="100" spans="1:20">
      <c r="A100" s="25"/>
      <c r="B100" s="25"/>
      <c r="C100" s="31"/>
      <c r="D100" s="26"/>
      <c r="E100" s="26"/>
      <c r="F100" s="28"/>
      <c r="G100" s="25"/>
      <c r="H100" s="25"/>
      <c r="I100" s="40"/>
      <c r="J100" s="28"/>
      <c r="K100" s="28"/>
      <c r="L100" s="28"/>
      <c r="M100" s="26"/>
      <c r="N100" s="26"/>
      <c r="O100" s="26"/>
      <c r="P100" s="28"/>
      <c r="Q100" s="26"/>
      <c r="R100" s="40"/>
      <c r="S100" s="26"/>
      <c r="T100" s="26"/>
    </row>
    <row r="101" spans="1:20">
      <c r="A101" s="25"/>
      <c r="B101" s="25"/>
      <c r="C101" s="31"/>
      <c r="D101" s="26"/>
      <c r="E101" s="26"/>
      <c r="F101" s="28"/>
      <c r="G101" s="25"/>
      <c r="H101" s="25"/>
      <c r="I101" s="40"/>
      <c r="J101" s="28"/>
      <c r="K101" s="28"/>
      <c r="L101" s="28"/>
      <c r="M101" s="26"/>
      <c r="N101" s="26"/>
      <c r="O101" s="26"/>
      <c r="P101" s="28"/>
      <c r="Q101" s="26"/>
      <c r="R101" s="40"/>
      <c r="S101" s="26"/>
      <c r="T101" s="26"/>
    </row>
    <row r="102" spans="1:20">
      <c r="A102" s="25"/>
      <c r="B102" s="25"/>
      <c r="C102" s="31"/>
      <c r="D102" s="26"/>
      <c r="E102" s="26"/>
      <c r="F102" s="28"/>
      <c r="G102" s="25"/>
      <c r="H102" s="25"/>
      <c r="I102" s="40"/>
      <c r="J102" s="28"/>
      <c r="K102" s="28"/>
      <c r="L102" s="28"/>
      <c r="M102" s="26"/>
      <c r="N102" s="26"/>
      <c r="O102" s="26"/>
      <c r="P102" s="28"/>
      <c r="Q102" s="26"/>
      <c r="R102" s="40"/>
      <c r="S102" s="26"/>
      <c r="T102" s="26"/>
    </row>
    <row r="103" spans="1:20">
      <c r="A103" s="25"/>
      <c r="B103" s="25"/>
      <c r="C103" s="31"/>
      <c r="D103" s="26"/>
      <c r="E103" s="26"/>
      <c r="F103" s="28"/>
      <c r="G103" s="25"/>
      <c r="H103" s="25"/>
      <c r="I103" s="40"/>
      <c r="J103" s="28"/>
      <c r="K103" s="28"/>
      <c r="L103" s="28"/>
      <c r="M103" s="26"/>
      <c r="N103" s="26"/>
      <c r="O103" s="26"/>
      <c r="P103" s="28"/>
      <c r="Q103" s="26"/>
      <c r="R103" s="40"/>
      <c r="S103" s="26"/>
      <c r="T103" s="26"/>
    </row>
    <row r="104" spans="1:20">
      <c r="A104" s="25"/>
      <c r="B104" s="25"/>
      <c r="C104" s="31"/>
      <c r="D104" s="26"/>
      <c r="E104" s="26"/>
      <c r="F104" s="28"/>
      <c r="G104" s="25"/>
      <c r="H104" s="25"/>
      <c r="I104" s="40"/>
      <c r="J104" s="28"/>
      <c r="K104" s="28"/>
      <c r="L104" s="28"/>
      <c r="M104" s="26"/>
      <c r="N104" s="26"/>
      <c r="O104" s="26"/>
      <c r="P104" s="28"/>
      <c r="Q104" s="26"/>
      <c r="R104" s="40"/>
      <c r="S104" s="26"/>
      <c r="T104" s="26"/>
    </row>
    <row r="105" spans="1:20">
      <c r="A105" s="25"/>
      <c r="B105" s="25"/>
      <c r="C105" s="31"/>
      <c r="D105" s="26"/>
      <c r="E105" s="26"/>
      <c r="F105" s="28"/>
      <c r="G105" s="25"/>
      <c r="H105" s="25"/>
      <c r="I105" s="40"/>
      <c r="J105" s="28"/>
      <c r="K105" s="28"/>
      <c r="L105" s="28"/>
      <c r="M105" s="26"/>
      <c r="N105" s="26"/>
      <c r="O105" s="26"/>
      <c r="P105" s="28"/>
      <c r="Q105" s="26"/>
      <c r="R105" s="40"/>
      <c r="S105" s="26"/>
      <c r="T105" s="26"/>
    </row>
    <row r="106" spans="1:20">
      <c r="A106" s="25"/>
      <c r="B106" s="25"/>
      <c r="C106" s="31"/>
      <c r="D106" s="26"/>
      <c r="E106" s="26"/>
      <c r="F106" s="28"/>
      <c r="G106" s="25"/>
      <c r="H106" s="25"/>
      <c r="I106" s="40"/>
      <c r="J106" s="28"/>
      <c r="K106" s="28"/>
      <c r="L106" s="28"/>
      <c r="M106" s="26"/>
      <c r="N106" s="26"/>
      <c r="O106" s="26"/>
      <c r="P106" s="28"/>
      <c r="Q106" s="26"/>
      <c r="R106" s="40"/>
      <c r="S106" s="26"/>
      <c r="T106" s="26"/>
    </row>
    <row r="107" spans="1:20">
      <c r="A107" s="25"/>
      <c r="B107" s="25"/>
      <c r="C107" s="31"/>
      <c r="D107" s="26"/>
      <c r="E107" s="26"/>
      <c r="F107" s="28"/>
      <c r="G107" s="25"/>
      <c r="H107" s="25"/>
      <c r="I107" s="40"/>
      <c r="J107" s="28"/>
      <c r="K107" s="28"/>
      <c r="L107" s="28"/>
      <c r="M107" s="26"/>
      <c r="N107" s="26"/>
      <c r="O107" s="26"/>
      <c r="P107" s="28"/>
      <c r="Q107" s="26"/>
      <c r="R107" s="40"/>
      <c r="S107" s="26"/>
      <c r="T107" s="26"/>
    </row>
    <row r="108" spans="1:20">
      <c r="A108" s="25"/>
      <c r="B108" s="25"/>
      <c r="C108" s="31"/>
      <c r="D108" s="26"/>
      <c r="E108" s="26"/>
      <c r="F108" s="28"/>
      <c r="G108" s="25"/>
      <c r="H108" s="25"/>
      <c r="I108" s="40"/>
      <c r="J108" s="28"/>
      <c r="K108" s="28"/>
      <c r="L108" s="28"/>
      <c r="M108" s="26"/>
      <c r="N108" s="26"/>
      <c r="O108" s="26"/>
      <c r="P108" s="28"/>
      <c r="Q108" s="26"/>
      <c r="R108" s="40"/>
      <c r="S108" s="26"/>
      <c r="T108" s="26"/>
    </row>
    <row r="109" spans="1:20">
      <c r="A109" s="25"/>
      <c r="B109" s="25"/>
      <c r="C109" s="31"/>
      <c r="D109" s="26"/>
      <c r="E109" s="26"/>
      <c r="F109" s="28"/>
      <c r="G109" s="25"/>
      <c r="H109" s="25"/>
      <c r="I109" s="40"/>
      <c r="J109" s="28"/>
      <c r="K109" s="28"/>
      <c r="L109" s="28"/>
      <c r="M109" s="26"/>
      <c r="N109" s="26"/>
      <c r="O109" s="26"/>
      <c r="P109" s="28"/>
      <c r="Q109" s="26"/>
      <c r="R109" s="40"/>
      <c r="S109" s="26"/>
      <c r="T109" s="26"/>
    </row>
    <row r="110" spans="1:20">
      <c r="A110" s="25"/>
      <c r="B110" s="25"/>
      <c r="C110" s="31"/>
      <c r="D110" s="26"/>
      <c r="E110" s="26"/>
      <c r="F110" s="28"/>
      <c r="G110" s="25"/>
      <c r="H110" s="25"/>
      <c r="I110" s="40"/>
      <c r="J110" s="28"/>
      <c r="K110" s="28"/>
      <c r="L110" s="28"/>
      <c r="M110" s="26"/>
      <c r="N110" s="26"/>
      <c r="O110" s="26"/>
      <c r="P110" s="28"/>
      <c r="Q110" s="26"/>
      <c r="R110" s="40"/>
      <c r="S110" s="26"/>
      <c r="T110" s="26"/>
    </row>
    <row r="111" spans="1:20">
      <c r="A111" s="25"/>
      <c r="B111" s="25"/>
      <c r="C111" s="31"/>
      <c r="D111" s="26"/>
      <c r="E111" s="26"/>
      <c r="F111" s="28"/>
      <c r="G111" s="25"/>
      <c r="H111" s="25"/>
      <c r="I111" s="40"/>
      <c r="J111" s="28"/>
      <c r="K111" s="28"/>
      <c r="L111" s="28"/>
      <c r="M111" s="26"/>
      <c r="N111" s="26"/>
      <c r="O111" s="26"/>
      <c r="P111" s="28"/>
      <c r="Q111" s="26"/>
      <c r="R111" s="40"/>
      <c r="S111" s="26"/>
      <c r="T111" s="26"/>
    </row>
    <row r="112" spans="1:20">
      <c r="A112" s="25"/>
      <c r="B112" s="25"/>
      <c r="C112" s="31"/>
      <c r="D112" s="26"/>
      <c r="E112" s="26"/>
      <c r="F112" s="28"/>
      <c r="G112" s="25"/>
      <c r="H112" s="25"/>
      <c r="I112" s="40"/>
      <c r="J112" s="28"/>
      <c r="K112" s="28"/>
      <c r="L112" s="28"/>
      <c r="M112" s="26"/>
      <c r="N112" s="26"/>
      <c r="O112" s="26"/>
      <c r="P112" s="28"/>
      <c r="Q112" s="26"/>
      <c r="R112" s="40"/>
      <c r="S112" s="26"/>
      <c r="T112" s="26"/>
    </row>
    <row r="113" spans="1:20">
      <c r="A113" s="25"/>
      <c r="B113" s="25"/>
      <c r="C113" s="31"/>
      <c r="D113" s="26"/>
      <c r="E113" s="26"/>
      <c r="F113" s="28"/>
      <c r="G113" s="25"/>
      <c r="H113" s="25"/>
      <c r="I113" s="40"/>
      <c r="J113" s="28"/>
      <c r="K113" s="28"/>
      <c r="L113" s="28"/>
      <c r="M113" s="26"/>
      <c r="N113" s="26"/>
      <c r="O113" s="26"/>
      <c r="P113" s="28"/>
      <c r="Q113" s="26"/>
      <c r="R113" s="40"/>
      <c r="S113" s="26"/>
      <c r="T113" s="26"/>
    </row>
    <row r="114" spans="1:20">
      <c r="A114" s="25"/>
      <c r="B114" s="25"/>
      <c r="C114" s="31"/>
      <c r="D114" s="26"/>
      <c r="E114" s="26"/>
      <c r="F114" s="28"/>
      <c r="G114" s="25"/>
      <c r="H114" s="25"/>
      <c r="I114" s="40"/>
      <c r="J114" s="28"/>
      <c r="K114" s="28"/>
      <c r="L114" s="28"/>
      <c r="M114" s="26"/>
      <c r="N114" s="26"/>
      <c r="O114" s="26"/>
      <c r="P114" s="28"/>
      <c r="Q114" s="26"/>
      <c r="R114" s="40"/>
      <c r="S114" s="26"/>
      <c r="T114" s="26"/>
    </row>
    <row r="115" spans="1:20">
      <c r="A115" s="25"/>
      <c r="B115" s="25"/>
      <c r="C115" s="31"/>
      <c r="D115" s="26"/>
      <c r="E115" s="26"/>
      <c r="F115" s="28"/>
      <c r="G115" s="25"/>
      <c r="H115" s="25"/>
      <c r="I115" s="40"/>
      <c r="J115" s="28"/>
      <c r="K115" s="28"/>
      <c r="L115" s="28"/>
      <c r="M115" s="26"/>
      <c r="N115" s="26"/>
      <c r="O115" s="26"/>
      <c r="P115" s="28"/>
      <c r="Q115" s="26"/>
      <c r="R115" s="40"/>
      <c r="S115" s="26"/>
      <c r="T115" s="26"/>
    </row>
    <row r="116" spans="1:20">
      <c r="A116" s="25"/>
      <c r="B116" s="25"/>
      <c r="C116" s="31"/>
      <c r="D116" s="26"/>
      <c r="E116" s="26"/>
      <c r="F116" s="28"/>
      <c r="G116" s="25"/>
      <c r="H116" s="25"/>
      <c r="I116" s="40"/>
      <c r="J116" s="28"/>
      <c r="K116" s="28"/>
      <c r="L116" s="28"/>
      <c r="M116" s="26"/>
      <c r="N116" s="26"/>
      <c r="O116" s="26"/>
      <c r="P116" s="28"/>
      <c r="Q116" s="26"/>
      <c r="R116" s="40"/>
      <c r="S116" s="26"/>
      <c r="T116" s="26"/>
    </row>
    <row r="117" spans="1:20">
      <c r="A117" s="25"/>
      <c r="B117" s="25"/>
      <c r="C117" s="31"/>
      <c r="D117" s="26"/>
      <c r="E117" s="32"/>
      <c r="F117" s="33"/>
      <c r="G117" s="25"/>
      <c r="H117" s="25"/>
      <c r="I117" s="33"/>
      <c r="J117" s="28"/>
      <c r="K117" s="28"/>
      <c r="L117" s="28"/>
      <c r="M117" s="26"/>
      <c r="N117" s="32"/>
      <c r="O117" s="26"/>
      <c r="P117" s="28"/>
      <c r="Q117" s="26"/>
      <c r="R117" s="26"/>
      <c r="S117" s="26"/>
      <c r="T117" s="26"/>
    </row>
    <row r="118" spans="1:20">
      <c r="A118" s="25"/>
      <c r="B118" s="25"/>
      <c r="C118" s="31"/>
      <c r="D118" s="26"/>
      <c r="E118" s="32"/>
      <c r="F118" s="33"/>
      <c r="G118" s="25"/>
      <c r="H118" s="25"/>
      <c r="I118" s="33"/>
      <c r="J118" s="28"/>
      <c r="K118" s="28"/>
      <c r="L118" s="28"/>
      <c r="M118" s="26"/>
      <c r="N118" s="32"/>
      <c r="O118" s="26"/>
      <c r="P118" s="28"/>
      <c r="Q118" s="26"/>
      <c r="R118" s="26"/>
      <c r="S118" s="26"/>
      <c r="T118" s="26"/>
    </row>
    <row r="119" spans="1:20">
      <c r="A119" s="25"/>
      <c r="B119" s="25"/>
      <c r="C119" s="31"/>
      <c r="D119" s="26"/>
      <c r="E119" s="32"/>
      <c r="F119" s="33"/>
      <c r="G119" s="25"/>
      <c r="H119" s="25"/>
      <c r="I119" s="33"/>
      <c r="J119" s="28"/>
      <c r="K119" s="28"/>
      <c r="L119" s="28"/>
      <c r="M119" s="26"/>
      <c r="N119" s="32"/>
      <c r="O119" s="26"/>
      <c r="P119" s="28"/>
      <c r="Q119" s="26"/>
      <c r="R119" s="26"/>
      <c r="S119" s="26"/>
      <c r="T119" s="26"/>
    </row>
    <row r="120" spans="1:20">
      <c r="A120" s="25"/>
      <c r="B120" s="25"/>
      <c r="C120" s="31"/>
      <c r="D120" s="26"/>
      <c r="E120" s="32"/>
      <c r="F120" s="33"/>
      <c r="G120" s="25"/>
      <c r="H120" s="25"/>
      <c r="I120" s="33"/>
      <c r="J120" s="28"/>
      <c r="K120" s="28"/>
      <c r="L120" s="28"/>
      <c r="M120" s="26"/>
      <c r="N120" s="32"/>
      <c r="O120" s="26"/>
      <c r="P120" s="28"/>
      <c r="Q120" s="26"/>
      <c r="R120" s="26"/>
      <c r="S120" s="26"/>
      <c r="T120" s="26"/>
    </row>
    <row r="121" spans="1:20">
      <c r="A121" s="25"/>
      <c r="B121" s="25"/>
      <c r="C121" s="31"/>
      <c r="D121" s="26"/>
      <c r="E121" s="32"/>
      <c r="F121" s="33"/>
      <c r="G121" s="25"/>
      <c r="H121" s="25"/>
      <c r="I121" s="33"/>
      <c r="J121" s="28"/>
      <c r="K121" s="28"/>
      <c r="L121" s="28"/>
      <c r="M121" s="26"/>
      <c r="N121" s="32"/>
      <c r="O121" s="26"/>
      <c r="P121" s="28"/>
      <c r="Q121" s="26"/>
      <c r="R121" s="26"/>
      <c r="S121" s="26"/>
      <c r="T121" s="26"/>
    </row>
    <row r="122" spans="1:20">
      <c r="A122" s="25"/>
      <c r="B122" s="25"/>
      <c r="C122" s="31"/>
      <c r="D122" s="26"/>
      <c r="E122" s="32"/>
      <c r="F122" s="33"/>
      <c r="G122" s="25"/>
      <c r="H122" s="25"/>
      <c r="I122" s="33"/>
      <c r="J122" s="28"/>
      <c r="K122" s="28"/>
      <c r="L122" s="28"/>
      <c r="M122" s="26"/>
      <c r="N122" s="32"/>
      <c r="O122" s="26"/>
      <c r="P122" s="28"/>
      <c r="Q122" s="26"/>
      <c r="R122" s="26"/>
      <c r="S122" s="26"/>
      <c r="T122" s="26"/>
    </row>
    <row r="123" spans="1:20">
      <c r="A123" s="25"/>
      <c r="B123" s="25"/>
      <c r="C123" s="31"/>
      <c r="D123" s="26"/>
      <c r="E123" s="32"/>
      <c r="F123" s="33"/>
      <c r="G123" s="25"/>
      <c r="H123" s="25"/>
      <c r="I123" s="33"/>
      <c r="J123" s="28"/>
      <c r="K123" s="28"/>
      <c r="L123" s="28"/>
      <c r="M123" s="26"/>
      <c r="N123" s="32"/>
      <c r="O123" s="26"/>
      <c r="P123" s="28"/>
      <c r="Q123" s="26"/>
      <c r="R123" s="26"/>
      <c r="S123" s="26"/>
      <c r="T123" s="26"/>
    </row>
    <row r="124" spans="1:20">
      <c r="A124" s="25"/>
      <c r="B124" s="25"/>
      <c r="C124" s="31"/>
      <c r="D124" s="26"/>
      <c r="E124" s="32"/>
      <c r="F124" s="33"/>
      <c r="G124" s="25"/>
      <c r="H124" s="25"/>
      <c r="I124" s="33"/>
      <c r="J124" s="28"/>
      <c r="K124" s="28"/>
      <c r="L124" s="28"/>
      <c r="M124" s="26"/>
      <c r="N124" s="32"/>
      <c r="O124" s="26"/>
      <c r="P124" s="28"/>
      <c r="Q124" s="26"/>
      <c r="R124" s="26"/>
      <c r="S124" s="26"/>
      <c r="T124" s="26"/>
    </row>
    <row r="125" spans="1:20">
      <c r="A125" s="25"/>
      <c r="B125" s="25"/>
      <c r="C125" s="31"/>
      <c r="D125" s="26"/>
      <c r="E125" s="32"/>
      <c r="F125" s="33"/>
      <c r="G125" s="25"/>
      <c r="H125" s="25"/>
      <c r="I125" s="33"/>
      <c r="J125" s="28"/>
      <c r="K125" s="28"/>
      <c r="L125" s="28"/>
      <c r="M125" s="26"/>
      <c r="N125" s="32"/>
      <c r="O125" s="26"/>
      <c r="P125" s="28"/>
      <c r="Q125" s="26"/>
      <c r="R125" s="26"/>
      <c r="S125" s="26"/>
      <c r="T125" s="26"/>
    </row>
    <row r="126" spans="1:20">
      <c r="A126" s="25"/>
      <c r="B126" s="25"/>
      <c r="C126" s="31"/>
      <c r="D126" s="26"/>
      <c r="E126" s="32"/>
      <c r="F126" s="33"/>
      <c r="G126" s="25"/>
      <c r="H126" s="25"/>
      <c r="I126" s="33"/>
      <c r="J126" s="28"/>
      <c r="K126" s="28"/>
      <c r="L126" s="28"/>
      <c r="M126" s="26"/>
      <c r="N126" s="32"/>
      <c r="O126" s="26"/>
      <c r="P126" s="28"/>
      <c r="Q126" s="26"/>
      <c r="R126" s="26"/>
      <c r="S126" s="26"/>
      <c r="T126" s="26"/>
    </row>
    <row r="127" spans="1:20">
      <c r="A127" s="25"/>
      <c r="B127" s="25"/>
      <c r="C127" s="31"/>
      <c r="D127" s="26"/>
      <c r="E127" s="32"/>
      <c r="F127" s="33"/>
      <c r="G127" s="25"/>
      <c r="H127" s="25"/>
      <c r="I127" s="33"/>
      <c r="J127" s="28"/>
      <c r="K127" s="28"/>
      <c r="L127" s="28"/>
      <c r="M127" s="26"/>
      <c r="N127" s="32"/>
      <c r="O127" s="26"/>
      <c r="P127" s="28"/>
      <c r="Q127" s="26"/>
      <c r="R127" s="26"/>
      <c r="S127" s="26"/>
      <c r="T127" s="26"/>
    </row>
    <row r="128" spans="1:20">
      <c r="A128" s="25"/>
      <c r="B128" s="25"/>
      <c r="C128" s="31"/>
      <c r="D128" s="26"/>
      <c r="E128" s="32"/>
      <c r="F128" s="33"/>
      <c r="G128" s="25"/>
      <c r="H128" s="25"/>
      <c r="I128" s="33"/>
      <c r="J128" s="28"/>
      <c r="K128" s="28"/>
      <c r="L128" s="28"/>
      <c r="M128" s="26"/>
      <c r="N128" s="32"/>
      <c r="O128" s="26"/>
      <c r="P128" s="28"/>
      <c r="Q128" s="26"/>
      <c r="R128" s="26"/>
      <c r="S128" s="26"/>
      <c r="T128" s="26"/>
    </row>
    <row r="129" spans="1:20">
      <c r="A129" s="25"/>
      <c r="B129" s="25"/>
      <c r="C129" s="31"/>
      <c r="D129" s="26"/>
      <c r="E129" s="32"/>
      <c r="F129" s="33"/>
      <c r="G129" s="25"/>
      <c r="H129" s="25"/>
      <c r="I129" s="33"/>
      <c r="J129" s="28"/>
      <c r="K129" s="28"/>
      <c r="L129" s="28"/>
      <c r="M129" s="26"/>
      <c r="N129" s="32"/>
      <c r="O129" s="26"/>
      <c r="P129" s="28"/>
      <c r="Q129" s="26"/>
      <c r="R129" s="26"/>
      <c r="S129" s="26"/>
      <c r="T129" s="26"/>
    </row>
    <row r="130" spans="1:20">
      <c r="A130" s="25"/>
      <c r="B130" s="25"/>
      <c r="C130" s="31"/>
      <c r="D130" s="26"/>
      <c r="E130" s="32"/>
      <c r="F130" s="33"/>
      <c r="G130" s="25"/>
      <c r="H130" s="25"/>
      <c r="I130" s="33"/>
      <c r="J130" s="28"/>
      <c r="K130" s="28"/>
      <c r="L130" s="28"/>
      <c r="M130" s="26"/>
      <c r="N130" s="32"/>
      <c r="O130" s="26"/>
      <c r="P130" s="28"/>
      <c r="Q130" s="26"/>
      <c r="R130" s="26"/>
      <c r="S130" s="26"/>
      <c r="T130" s="26"/>
    </row>
    <row r="131" spans="1:20">
      <c r="A131" s="25"/>
      <c r="B131" s="25"/>
      <c r="C131" s="31"/>
      <c r="D131" s="26"/>
      <c r="E131" s="32"/>
      <c r="F131" s="33"/>
      <c r="G131" s="25"/>
      <c r="H131" s="25"/>
      <c r="I131" s="33"/>
      <c r="J131" s="28"/>
      <c r="K131" s="28"/>
      <c r="L131" s="28"/>
      <c r="M131" s="26"/>
      <c r="N131" s="32"/>
      <c r="O131" s="26"/>
      <c r="P131" s="28"/>
      <c r="Q131" s="26"/>
      <c r="R131" s="26"/>
      <c r="S131" s="26"/>
      <c r="T131" s="26"/>
    </row>
    <row r="132" spans="1:20">
      <c r="A132" s="25"/>
      <c r="B132" s="25"/>
      <c r="C132" s="31"/>
      <c r="D132" s="26"/>
      <c r="E132" s="32"/>
      <c r="F132" s="33"/>
      <c r="G132" s="25"/>
      <c r="H132" s="25"/>
      <c r="I132" s="33"/>
      <c r="J132" s="28"/>
      <c r="K132" s="28"/>
      <c r="L132" s="28"/>
      <c r="M132" s="26"/>
      <c r="N132" s="32"/>
      <c r="O132" s="26"/>
      <c r="P132" s="28"/>
      <c r="Q132" s="26"/>
      <c r="R132" s="26"/>
      <c r="S132" s="26"/>
      <c r="T132" s="26"/>
    </row>
    <row r="133" spans="1:20">
      <c r="A133" s="25"/>
      <c r="B133" s="25"/>
      <c r="C133" s="31"/>
      <c r="D133" s="26"/>
      <c r="E133" s="32"/>
      <c r="F133" s="33"/>
      <c r="G133" s="25"/>
      <c r="H133" s="25"/>
      <c r="I133" s="33"/>
      <c r="J133" s="28"/>
      <c r="K133" s="28"/>
      <c r="L133" s="28"/>
      <c r="M133" s="26"/>
      <c r="N133" s="32"/>
      <c r="O133" s="26"/>
      <c r="P133" s="28"/>
      <c r="Q133" s="26"/>
      <c r="R133" s="26"/>
      <c r="S133" s="26"/>
      <c r="T133" s="26"/>
    </row>
    <row r="134" spans="1:20">
      <c r="A134" s="25"/>
      <c r="B134" s="25"/>
      <c r="C134" s="31"/>
      <c r="D134" s="26"/>
      <c r="E134" s="32"/>
      <c r="F134" s="33"/>
      <c r="G134" s="25"/>
      <c r="H134" s="25"/>
      <c r="I134" s="33"/>
      <c r="J134" s="28"/>
      <c r="K134" s="28"/>
      <c r="L134" s="28"/>
      <c r="M134" s="26"/>
      <c r="N134" s="32"/>
      <c r="O134" s="26"/>
      <c r="P134" s="28"/>
      <c r="Q134" s="26"/>
      <c r="R134" s="26"/>
      <c r="S134" s="26"/>
      <c r="T134" s="26"/>
    </row>
    <row r="135" spans="1:20">
      <c r="A135" s="25"/>
      <c r="B135" s="25"/>
      <c r="C135" s="31"/>
      <c r="D135" s="26"/>
      <c r="E135" s="32"/>
      <c r="F135" s="33"/>
      <c r="G135" s="25"/>
      <c r="H135" s="25"/>
      <c r="I135" s="33"/>
      <c r="J135" s="28"/>
      <c r="K135" s="28"/>
      <c r="L135" s="28"/>
      <c r="M135" s="26"/>
      <c r="N135" s="32"/>
      <c r="O135" s="26"/>
      <c r="P135" s="28"/>
      <c r="Q135" s="26"/>
      <c r="R135" s="26"/>
      <c r="S135" s="26"/>
      <c r="T135" s="26"/>
    </row>
    <row r="136" spans="1:20">
      <c r="A136" s="25"/>
      <c r="B136" s="25"/>
      <c r="C136" s="31"/>
      <c r="D136" s="26"/>
      <c r="E136" s="32"/>
      <c r="F136" s="33"/>
      <c r="G136" s="25"/>
      <c r="H136" s="25"/>
      <c r="I136" s="33"/>
      <c r="J136" s="28"/>
      <c r="K136" s="28"/>
      <c r="L136" s="28"/>
      <c r="M136" s="26"/>
      <c r="N136" s="32"/>
      <c r="O136" s="26"/>
      <c r="P136" s="28"/>
      <c r="Q136" s="26"/>
      <c r="R136" s="26"/>
      <c r="S136" s="26"/>
      <c r="T136" s="26"/>
    </row>
    <row r="137" spans="1:20">
      <c r="A137" s="25"/>
      <c r="B137" s="25"/>
      <c r="C137" s="31"/>
      <c r="D137" s="26"/>
      <c r="E137" s="32"/>
      <c r="F137" s="33"/>
      <c r="G137" s="25"/>
      <c r="H137" s="25"/>
      <c r="I137" s="33"/>
      <c r="J137" s="28"/>
      <c r="K137" s="28"/>
      <c r="L137" s="28"/>
      <c r="M137" s="26"/>
      <c r="N137" s="32"/>
      <c r="O137" s="26"/>
      <c r="P137" s="28"/>
      <c r="Q137" s="26"/>
      <c r="R137" s="26"/>
      <c r="S137" s="26"/>
      <c r="T137" s="26"/>
    </row>
    <row r="138" spans="1:20">
      <c r="A138" s="25"/>
      <c r="B138" s="25"/>
      <c r="C138" s="31"/>
      <c r="D138" s="26"/>
      <c r="E138" s="32"/>
      <c r="F138" s="33"/>
      <c r="G138" s="25"/>
      <c r="H138" s="25"/>
      <c r="I138" s="33"/>
      <c r="J138" s="28"/>
      <c r="K138" s="28"/>
      <c r="L138" s="28"/>
      <c r="M138" s="26"/>
      <c r="N138" s="32"/>
      <c r="O138" s="26"/>
      <c r="P138" s="28"/>
      <c r="Q138" s="26"/>
      <c r="R138" s="26"/>
      <c r="S138" s="26"/>
      <c r="T138" s="26"/>
    </row>
    <row r="139" spans="1:20">
      <c r="A139" s="25"/>
      <c r="B139" s="25"/>
      <c r="C139" s="31"/>
      <c r="D139" s="26"/>
      <c r="E139" s="32"/>
      <c r="F139" s="33"/>
      <c r="G139" s="25"/>
      <c r="H139" s="25"/>
      <c r="I139" s="33"/>
      <c r="J139" s="28"/>
      <c r="K139" s="28"/>
      <c r="L139" s="28"/>
      <c r="M139" s="26"/>
      <c r="N139" s="32"/>
      <c r="O139" s="26"/>
      <c r="P139" s="28"/>
      <c r="Q139" s="26"/>
      <c r="R139" s="26"/>
      <c r="S139" s="26"/>
      <c r="T139" s="26"/>
    </row>
    <row r="140" spans="1:20">
      <c r="A140" s="25"/>
      <c r="B140" s="25"/>
      <c r="C140" s="31"/>
      <c r="D140" s="26"/>
      <c r="E140" s="32"/>
      <c r="F140" s="33"/>
      <c r="G140" s="25"/>
      <c r="H140" s="25"/>
      <c r="I140" s="33"/>
      <c r="J140" s="28"/>
      <c r="K140" s="28"/>
      <c r="L140" s="28"/>
      <c r="M140" s="26"/>
      <c r="N140" s="32"/>
      <c r="O140" s="26"/>
      <c r="P140" s="28"/>
      <c r="Q140" s="26"/>
      <c r="R140" s="26"/>
      <c r="S140" s="26"/>
      <c r="T140" s="26"/>
    </row>
    <row r="141" spans="1:20">
      <c r="A141" s="25"/>
      <c r="B141" s="25"/>
      <c r="C141" s="31"/>
      <c r="D141" s="26"/>
      <c r="E141" s="32"/>
      <c r="F141" s="33"/>
      <c r="G141" s="25"/>
      <c r="H141" s="25"/>
      <c r="I141" s="33"/>
      <c r="J141" s="28"/>
      <c r="K141" s="28"/>
      <c r="L141" s="28"/>
      <c r="M141" s="26"/>
      <c r="N141" s="32"/>
      <c r="O141" s="26"/>
      <c r="P141" s="28"/>
      <c r="Q141" s="26"/>
      <c r="R141" s="26"/>
      <c r="S141" s="26"/>
      <c r="T141" s="26"/>
    </row>
    <row r="142" spans="1:20">
      <c r="A142" s="25"/>
      <c r="B142" s="25"/>
      <c r="C142" s="31"/>
      <c r="D142" s="26"/>
      <c r="E142" s="32"/>
      <c r="F142" s="33"/>
      <c r="G142" s="25"/>
      <c r="H142" s="25"/>
      <c r="I142" s="33"/>
      <c r="J142" s="28"/>
      <c r="K142" s="28"/>
      <c r="L142" s="28"/>
      <c r="M142" s="26"/>
      <c r="N142" s="32"/>
      <c r="O142" s="26"/>
      <c r="P142" s="28"/>
      <c r="Q142" s="26"/>
      <c r="R142" s="26"/>
      <c r="S142" s="26"/>
      <c r="T142" s="26"/>
    </row>
    <row r="143" spans="1:20">
      <c r="A143" s="25"/>
      <c r="B143" s="25"/>
      <c r="C143" s="31"/>
      <c r="D143" s="26"/>
      <c r="E143" s="32"/>
      <c r="F143" s="33"/>
      <c r="G143" s="25"/>
      <c r="H143" s="25"/>
      <c r="I143" s="33"/>
      <c r="J143" s="28"/>
      <c r="K143" s="28"/>
      <c r="L143" s="28"/>
      <c r="M143" s="26"/>
      <c r="N143" s="32"/>
      <c r="O143" s="26"/>
      <c r="P143" s="28"/>
      <c r="Q143" s="26"/>
      <c r="R143" s="26"/>
      <c r="S143" s="26"/>
      <c r="T143" s="26"/>
    </row>
    <row r="144" spans="1:20">
      <c r="A144" s="25"/>
      <c r="B144" s="25"/>
      <c r="C144" s="31"/>
      <c r="D144" s="26"/>
      <c r="E144" s="32"/>
      <c r="F144" s="33"/>
      <c r="G144" s="25"/>
      <c r="H144" s="25"/>
      <c r="I144" s="33"/>
      <c r="J144" s="28"/>
      <c r="K144" s="28"/>
      <c r="L144" s="28"/>
      <c r="M144" s="26"/>
      <c r="N144" s="32"/>
      <c r="O144" s="26"/>
      <c r="P144" s="28"/>
      <c r="Q144" s="26"/>
      <c r="R144" s="26"/>
      <c r="S144" s="26"/>
      <c r="T144" s="26"/>
    </row>
    <row r="145" spans="1:20">
      <c r="A145" s="25"/>
      <c r="B145" s="25"/>
      <c r="C145" s="31"/>
      <c r="D145" s="26"/>
      <c r="E145" s="32"/>
      <c r="F145" s="33"/>
      <c r="G145" s="25"/>
      <c r="H145" s="25"/>
      <c r="I145" s="33"/>
      <c r="J145" s="28"/>
      <c r="K145" s="28"/>
      <c r="L145" s="28"/>
      <c r="M145" s="26"/>
      <c r="N145" s="32"/>
      <c r="O145" s="26"/>
      <c r="P145" s="28"/>
      <c r="Q145" s="26"/>
      <c r="R145" s="26"/>
      <c r="S145" s="26"/>
      <c r="T145" s="26"/>
    </row>
    <row r="146" spans="1:20">
      <c r="A146" s="25"/>
      <c r="B146" s="25"/>
      <c r="C146" s="31"/>
      <c r="D146" s="26"/>
      <c r="E146" s="32"/>
      <c r="F146" s="33"/>
      <c r="G146" s="25"/>
      <c r="H146" s="25"/>
      <c r="I146" s="33"/>
      <c r="J146" s="28"/>
      <c r="K146" s="28"/>
      <c r="L146" s="28"/>
      <c r="M146" s="26"/>
      <c r="N146" s="32"/>
      <c r="O146" s="26"/>
      <c r="P146" s="28"/>
      <c r="Q146" s="26"/>
      <c r="R146" s="26"/>
      <c r="S146" s="26"/>
      <c r="T146" s="26"/>
    </row>
    <row r="147" spans="1:20">
      <c r="A147" s="25"/>
      <c r="B147" s="25"/>
      <c r="C147" s="31"/>
      <c r="D147" s="26"/>
      <c r="E147" s="32"/>
      <c r="F147" s="33"/>
      <c r="G147" s="25"/>
      <c r="H147" s="25"/>
      <c r="I147" s="33"/>
      <c r="J147" s="28"/>
      <c r="K147" s="28"/>
      <c r="L147" s="28"/>
      <c r="M147" s="26"/>
      <c r="N147" s="32"/>
      <c r="O147" s="26"/>
      <c r="P147" s="28"/>
      <c r="Q147" s="26"/>
      <c r="R147" s="26"/>
      <c r="S147" s="26"/>
      <c r="T147" s="26"/>
    </row>
    <row r="148" spans="1:20">
      <c r="A148" s="25"/>
      <c r="B148" s="25"/>
      <c r="C148" s="31"/>
      <c r="D148" s="26"/>
      <c r="E148" s="32"/>
      <c r="F148" s="33"/>
      <c r="G148" s="25"/>
      <c r="H148" s="25"/>
      <c r="I148" s="33"/>
      <c r="J148" s="28"/>
      <c r="K148" s="28"/>
      <c r="L148" s="28"/>
      <c r="M148" s="26"/>
      <c r="N148" s="32"/>
      <c r="O148" s="26"/>
      <c r="P148" s="28"/>
      <c r="Q148" s="26"/>
      <c r="R148" s="26"/>
      <c r="S148" s="26"/>
      <c r="T148" s="26"/>
    </row>
    <row r="149" spans="1:20">
      <c r="A149" s="25"/>
      <c r="B149" s="25"/>
      <c r="C149" s="31"/>
      <c r="D149" s="26"/>
      <c r="E149" s="32"/>
      <c r="F149" s="33"/>
      <c r="G149" s="25"/>
      <c r="H149" s="25"/>
      <c r="I149" s="33"/>
      <c r="J149" s="28"/>
      <c r="K149" s="28"/>
      <c r="L149" s="28"/>
      <c r="M149" s="26"/>
      <c r="N149" s="32"/>
      <c r="O149" s="26"/>
      <c r="P149" s="28"/>
      <c r="Q149" s="26"/>
      <c r="R149" s="26"/>
      <c r="S149" s="26"/>
      <c r="T149" s="26"/>
    </row>
    <row r="150" spans="1:20">
      <c r="A150" s="25"/>
      <c r="B150" s="25"/>
      <c r="C150" s="31"/>
      <c r="D150" s="26"/>
      <c r="E150" s="32"/>
      <c r="F150" s="33"/>
      <c r="G150" s="25"/>
      <c r="H150" s="25"/>
      <c r="I150" s="33"/>
      <c r="J150" s="28"/>
      <c r="K150" s="28"/>
      <c r="L150" s="28"/>
      <c r="M150" s="26"/>
      <c r="N150" s="32"/>
      <c r="O150" s="26"/>
      <c r="P150" s="28"/>
      <c r="Q150" s="26"/>
      <c r="R150" s="26"/>
      <c r="S150" s="26"/>
      <c r="T150" s="26"/>
    </row>
    <row r="151" spans="1:20">
      <c r="A151" s="25"/>
      <c r="B151" s="25"/>
      <c r="C151" s="31"/>
      <c r="D151" s="26"/>
      <c r="E151" s="32"/>
      <c r="F151" s="33"/>
      <c r="G151" s="25"/>
      <c r="H151" s="25"/>
      <c r="I151" s="33"/>
      <c r="J151" s="28"/>
      <c r="K151" s="28"/>
      <c r="L151" s="28"/>
      <c r="M151" s="26"/>
      <c r="N151" s="32"/>
      <c r="O151" s="26"/>
      <c r="P151" s="28"/>
      <c r="Q151" s="26"/>
      <c r="R151" s="26"/>
      <c r="S151" s="26"/>
      <c r="T151" s="26"/>
    </row>
    <row r="152" spans="1:20">
      <c r="A152" s="25"/>
      <c r="B152" s="25"/>
      <c r="C152" s="31"/>
      <c r="D152" s="26"/>
      <c r="E152" s="32"/>
      <c r="F152" s="33"/>
      <c r="G152" s="25"/>
      <c r="H152" s="25"/>
      <c r="I152" s="33"/>
      <c r="J152" s="28"/>
      <c r="K152" s="28"/>
      <c r="L152" s="28"/>
      <c r="M152" s="26"/>
      <c r="N152" s="32"/>
      <c r="O152" s="26"/>
      <c r="P152" s="28"/>
      <c r="Q152" s="26"/>
      <c r="R152" s="26"/>
      <c r="S152" s="26"/>
      <c r="T152" s="26"/>
    </row>
    <row r="153" spans="1:20">
      <c r="A153" s="25"/>
      <c r="B153" s="25"/>
      <c r="C153" s="31"/>
      <c r="D153" s="26"/>
      <c r="E153" s="32"/>
      <c r="F153" s="33"/>
      <c r="G153" s="25"/>
      <c r="H153" s="25"/>
      <c r="I153" s="33"/>
      <c r="J153" s="28"/>
      <c r="K153" s="28"/>
      <c r="L153" s="28"/>
      <c r="M153" s="26"/>
      <c r="N153" s="32"/>
      <c r="O153" s="26"/>
      <c r="P153" s="28"/>
      <c r="Q153" s="26"/>
      <c r="R153" s="26"/>
      <c r="S153" s="26"/>
      <c r="T153" s="26"/>
    </row>
    <row r="154" spans="1:20">
      <c r="A154" s="25"/>
      <c r="B154" s="25"/>
      <c r="C154" s="31"/>
      <c r="D154" s="26"/>
      <c r="E154" s="32"/>
      <c r="F154" s="33"/>
      <c r="G154" s="25"/>
      <c r="H154" s="25"/>
      <c r="I154" s="33"/>
      <c r="J154" s="28"/>
      <c r="K154" s="28"/>
      <c r="L154" s="28"/>
      <c r="M154" s="26"/>
      <c r="N154" s="32"/>
      <c r="O154" s="26"/>
      <c r="P154" s="28"/>
      <c r="Q154" s="26"/>
      <c r="R154" s="26"/>
      <c r="S154" s="26"/>
      <c r="T154" s="26"/>
    </row>
    <row r="155" spans="1:20">
      <c r="A155" s="25"/>
      <c r="B155" s="25"/>
      <c r="C155" s="31"/>
      <c r="D155" s="26"/>
      <c r="E155" s="32"/>
      <c r="F155" s="33"/>
      <c r="G155" s="25"/>
      <c r="H155" s="25"/>
      <c r="I155" s="33"/>
      <c r="J155" s="28"/>
      <c r="K155" s="28"/>
      <c r="L155" s="28"/>
      <c r="M155" s="26"/>
      <c r="N155" s="32"/>
      <c r="O155" s="26"/>
      <c r="P155" s="28"/>
      <c r="Q155" s="26"/>
      <c r="R155" s="26"/>
      <c r="S155" s="26"/>
      <c r="T155" s="26"/>
    </row>
    <row r="156" spans="1:20">
      <c r="A156" s="25"/>
      <c r="B156" s="25"/>
      <c r="C156" s="31"/>
      <c r="D156" s="26"/>
      <c r="E156" s="32"/>
      <c r="F156" s="33"/>
      <c r="G156" s="25"/>
      <c r="H156" s="25"/>
      <c r="I156" s="33"/>
      <c r="J156" s="28"/>
      <c r="K156" s="28"/>
      <c r="L156" s="28"/>
      <c r="M156" s="26"/>
      <c r="N156" s="32"/>
      <c r="O156" s="26"/>
      <c r="P156" s="28"/>
      <c r="Q156" s="26"/>
      <c r="R156" s="26"/>
      <c r="S156" s="26"/>
      <c r="T156" s="26"/>
    </row>
    <row r="157" spans="1:20">
      <c r="A157" s="25"/>
      <c r="B157" s="25"/>
      <c r="C157" s="31"/>
      <c r="D157" s="26"/>
      <c r="E157" s="32"/>
      <c r="F157" s="33"/>
      <c r="G157" s="25"/>
      <c r="H157" s="25"/>
      <c r="I157" s="33"/>
      <c r="J157" s="28"/>
      <c r="K157" s="28"/>
      <c r="L157" s="28"/>
      <c r="M157" s="26"/>
      <c r="N157" s="32"/>
      <c r="O157" s="26"/>
      <c r="P157" s="28"/>
      <c r="Q157" s="26"/>
      <c r="R157" s="26"/>
      <c r="S157" s="26"/>
      <c r="T157" s="26"/>
    </row>
    <row r="158" spans="1:20">
      <c r="A158" s="25"/>
      <c r="B158" s="25"/>
      <c r="C158" s="31"/>
      <c r="D158" s="26"/>
      <c r="E158" s="32"/>
      <c r="F158" s="33"/>
      <c r="G158" s="25"/>
      <c r="H158" s="25"/>
      <c r="I158" s="33"/>
      <c r="J158" s="28"/>
      <c r="K158" s="28"/>
      <c r="L158" s="28"/>
      <c r="M158" s="26"/>
      <c r="N158" s="32"/>
      <c r="O158" s="26"/>
      <c r="P158" s="28"/>
      <c r="Q158" s="26"/>
      <c r="R158" s="26"/>
      <c r="S158" s="26"/>
      <c r="T158" s="26"/>
    </row>
    <row r="159" spans="1:20">
      <c r="A159" s="25"/>
      <c r="B159" s="25"/>
      <c r="C159" s="31"/>
      <c r="D159" s="26"/>
      <c r="E159" s="32"/>
      <c r="F159" s="33"/>
      <c r="G159" s="25"/>
      <c r="H159" s="25"/>
      <c r="I159" s="33"/>
      <c r="J159" s="28"/>
      <c r="K159" s="28"/>
      <c r="L159" s="28"/>
      <c r="M159" s="26"/>
      <c r="N159" s="32"/>
      <c r="O159" s="26"/>
      <c r="P159" s="28"/>
      <c r="Q159" s="26"/>
      <c r="R159" s="26"/>
      <c r="S159" s="26"/>
      <c r="T159" s="26"/>
    </row>
    <row r="160" spans="1:20">
      <c r="A160" s="25"/>
      <c r="B160" s="25"/>
      <c r="C160" s="31"/>
      <c r="D160" s="26"/>
      <c r="E160" s="32"/>
      <c r="F160" s="33"/>
      <c r="G160" s="25"/>
      <c r="H160" s="25"/>
      <c r="I160" s="33"/>
      <c r="J160" s="28"/>
      <c r="K160" s="28"/>
      <c r="L160" s="28"/>
      <c r="M160" s="26"/>
      <c r="N160" s="32"/>
      <c r="O160" s="26"/>
      <c r="P160" s="28"/>
      <c r="Q160" s="26"/>
      <c r="R160" s="26"/>
      <c r="S160" s="26"/>
      <c r="T160" s="26"/>
    </row>
    <row r="161" spans="1:20">
      <c r="A161" s="25"/>
      <c r="B161" s="25"/>
      <c r="C161" s="31"/>
      <c r="D161" s="26"/>
      <c r="E161" s="32"/>
      <c r="F161" s="33"/>
      <c r="G161" s="25"/>
      <c r="H161" s="25"/>
      <c r="I161" s="33"/>
      <c r="J161" s="28"/>
      <c r="K161" s="28"/>
      <c r="L161" s="28"/>
      <c r="M161" s="26"/>
      <c r="N161" s="32"/>
      <c r="O161" s="26"/>
      <c r="P161" s="28"/>
      <c r="Q161" s="26"/>
      <c r="R161" s="26"/>
      <c r="S161" s="26"/>
      <c r="T161" s="26"/>
    </row>
    <row r="162" spans="1:20">
      <c r="A162" s="25"/>
      <c r="B162" s="25"/>
      <c r="C162" s="31"/>
      <c r="D162" s="26"/>
      <c r="E162" s="32"/>
      <c r="F162" s="33"/>
      <c r="G162" s="25"/>
      <c r="H162" s="25"/>
      <c r="I162" s="33"/>
      <c r="J162" s="28"/>
      <c r="K162" s="28"/>
      <c r="L162" s="28"/>
      <c r="M162" s="26"/>
      <c r="N162" s="32"/>
      <c r="O162" s="26"/>
      <c r="P162" s="28"/>
      <c r="Q162" s="26"/>
      <c r="R162" s="26"/>
      <c r="S162" s="26"/>
      <c r="T162" s="26"/>
    </row>
    <row r="163" spans="1:20">
      <c r="A163" s="25"/>
      <c r="B163" s="25"/>
      <c r="C163" s="31"/>
      <c r="D163" s="26"/>
      <c r="E163" s="32"/>
      <c r="F163" s="33"/>
      <c r="G163" s="25"/>
      <c r="H163" s="25"/>
      <c r="I163" s="33"/>
      <c r="J163" s="28"/>
      <c r="K163" s="28"/>
      <c r="L163" s="28"/>
      <c r="M163" s="26"/>
      <c r="N163" s="32"/>
      <c r="O163" s="26"/>
      <c r="P163" s="28"/>
      <c r="Q163" s="26"/>
      <c r="R163" s="26"/>
      <c r="S163" s="26"/>
      <c r="T163" s="26"/>
    </row>
    <row r="164" spans="1:20">
      <c r="A164" s="25"/>
      <c r="B164" s="25"/>
      <c r="C164" s="31"/>
      <c r="D164" s="26"/>
      <c r="E164" s="32"/>
      <c r="F164" s="33"/>
      <c r="G164" s="25"/>
      <c r="H164" s="25"/>
      <c r="I164" s="33"/>
      <c r="J164" s="28"/>
      <c r="K164" s="28"/>
      <c r="L164" s="28"/>
      <c r="M164" s="26"/>
      <c r="N164" s="32"/>
      <c r="O164" s="26"/>
      <c r="P164" s="28"/>
      <c r="Q164" s="26"/>
      <c r="R164" s="26"/>
      <c r="S164" s="26"/>
      <c r="T164" s="26"/>
    </row>
    <row r="165" spans="1:20">
      <c r="A165" s="25"/>
      <c r="B165" s="25"/>
      <c r="C165" s="31"/>
      <c r="D165" s="26"/>
      <c r="E165" s="32"/>
      <c r="F165" s="33"/>
      <c r="G165" s="25"/>
      <c r="H165" s="25"/>
      <c r="I165" s="33"/>
      <c r="J165" s="28"/>
      <c r="K165" s="28"/>
      <c r="L165" s="28"/>
      <c r="M165" s="26"/>
      <c r="N165" s="32"/>
      <c r="O165" s="26"/>
      <c r="P165" s="28"/>
      <c r="Q165" s="26"/>
      <c r="R165" s="26"/>
      <c r="S165" s="26"/>
      <c r="T165" s="26"/>
    </row>
    <row r="166" spans="1:20">
      <c r="A166" s="25"/>
      <c r="B166" s="25"/>
      <c r="C166" s="31"/>
      <c r="D166" s="26"/>
      <c r="E166" s="32"/>
      <c r="F166" s="33"/>
      <c r="G166" s="25"/>
      <c r="H166" s="25"/>
      <c r="I166" s="33"/>
      <c r="J166" s="28"/>
      <c r="K166" s="28"/>
      <c r="L166" s="28"/>
      <c r="M166" s="26"/>
      <c r="N166" s="32"/>
      <c r="O166" s="26"/>
      <c r="P166" s="28"/>
      <c r="Q166" s="26"/>
      <c r="R166" s="26"/>
      <c r="S166" s="26"/>
      <c r="T166" s="26"/>
    </row>
    <row r="167" spans="1:20">
      <c r="A167" s="25"/>
      <c r="B167" s="25"/>
      <c r="C167" s="31"/>
      <c r="D167" s="26"/>
      <c r="E167" s="32"/>
      <c r="F167" s="33"/>
      <c r="G167" s="25"/>
      <c r="H167" s="25"/>
      <c r="I167" s="33"/>
      <c r="J167" s="28"/>
      <c r="K167" s="28"/>
      <c r="L167" s="28"/>
      <c r="M167" s="26"/>
      <c r="N167" s="32"/>
      <c r="O167" s="26"/>
      <c r="P167" s="28"/>
      <c r="Q167" s="26"/>
      <c r="R167" s="26"/>
      <c r="S167" s="26"/>
      <c r="T167" s="26"/>
    </row>
    <row r="168" spans="1:20">
      <c r="A168" s="25"/>
      <c r="B168" s="25"/>
      <c r="C168" s="31"/>
      <c r="D168" s="26"/>
      <c r="E168" s="32"/>
      <c r="F168" s="33"/>
      <c r="G168" s="25"/>
      <c r="H168" s="25"/>
      <c r="I168" s="33"/>
      <c r="J168" s="28"/>
      <c r="K168" s="28"/>
      <c r="L168" s="28"/>
      <c r="M168" s="26"/>
      <c r="N168" s="32"/>
      <c r="O168" s="26"/>
      <c r="P168" s="28"/>
      <c r="Q168" s="26"/>
      <c r="R168" s="26"/>
      <c r="S168" s="26"/>
      <c r="T168" s="26"/>
    </row>
    <row r="169" spans="1:20">
      <c r="A169" s="25"/>
      <c r="B169" s="25"/>
      <c r="C169" s="31"/>
      <c r="D169" s="26"/>
      <c r="E169" s="32"/>
      <c r="F169" s="33"/>
      <c r="G169" s="25"/>
      <c r="H169" s="25"/>
      <c r="I169" s="33"/>
      <c r="J169" s="28"/>
      <c r="K169" s="28"/>
      <c r="L169" s="28"/>
      <c r="M169" s="26"/>
      <c r="N169" s="32"/>
      <c r="O169" s="26"/>
      <c r="P169" s="28"/>
      <c r="Q169" s="26"/>
      <c r="R169" s="26"/>
      <c r="S169" s="26"/>
      <c r="T169" s="26"/>
    </row>
    <row r="170" spans="1:20">
      <c r="A170" s="25"/>
      <c r="B170" s="25"/>
      <c r="C170" s="31"/>
      <c r="D170" s="26"/>
      <c r="E170" s="32"/>
      <c r="F170" s="33"/>
      <c r="G170" s="25"/>
      <c r="H170" s="25"/>
      <c r="I170" s="33"/>
      <c r="J170" s="28"/>
      <c r="K170" s="28"/>
      <c r="L170" s="28"/>
      <c r="M170" s="26"/>
      <c r="N170" s="32"/>
      <c r="O170" s="26"/>
      <c r="P170" s="28"/>
      <c r="Q170" s="26"/>
      <c r="R170" s="26"/>
      <c r="S170" s="26"/>
      <c r="T170" s="26"/>
    </row>
    <row r="171" spans="1:20">
      <c r="A171" s="25"/>
      <c r="B171" s="25"/>
      <c r="C171" s="31"/>
      <c r="D171" s="26"/>
      <c r="E171" s="32"/>
      <c r="F171" s="33"/>
      <c r="G171" s="25"/>
      <c r="H171" s="25"/>
      <c r="I171" s="33"/>
      <c r="J171" s="28"/>
      <c r="K171" s="28"/>
      <c r="L171" s="28"/>
      <c r="M171" s="26"/>
      <c r="N171" s="32"/>
      <c r="O171" s="26"/>
      <c r="P171" s="28"/>
      <c r="Q171" s="26"/>
      <c r="R171" s="26"/>
      <c r="S171" s="26"/>
      <c r="T171" s="26"/>
    </row>
    <row r="172" spans="1:20">
      <c r="A172" s="25"/>
      <c r="B172" s="25"/>
      <c r="C172" s="31"/>
      <c r="D172" s="26"/>
      <c r="E172" s="32"/>
      <c r="F172" s="33"/>
      <c r="G172" s="25"/>
      <c r="H172" s="25"/>
      <c r="I172" s="33"/>
      <c r="J172" s="28"/>
      <c r="K172" s="28"/>
      <c r="L172" s="28"/>
      <c r="M172" s="26"/>
      <c r="N172" s="32"/>
      <c r="O172" s="26"/>
      <c r="P172" s="28"/>
      <c r="Q172" s="26"/>
      <c r="R172" s="26"/>
      <c r="S172" s="26"/>
      <c r="T172" s="26"/>
    </row>
    <row r="173" spans="1:20">
      <c r="A173" s="25"/>
      <c r="B173" s="25"/>
      <c r="C173" s="31"/>
      <c r="D173" s="26"/>
      <c r="E173" s="32"/>
      <c r="F173" s="33"/>
      <c r="G173" s="25"/>
      <c r="H173" s="25"/>
      <c r="I173" s="33"/>
      <c r="J173" s="28"/>
      <c r="K173" s="28"/>
      <c r="L173" s="28"/>
      <c r="M173" s="26"/>
      <c r="N173" s="32"/>
      <c r="O173" s="26"/>
      <c r="P173" s="28"/>
      <c r="Q173" s="26"/>
      <c r="R173" s="26"/>
      <c r="S173" s="26"/>
      <c r="T173" s="26"/>
    </row>
    <row r="174" spans="1:20">
      <c r="A174" s="25"/>
      <c r="B174" s="25"/>
      <c r="C174" s="31"/>
      <c r="D174" s="26"/>
      <c r="E174" s="32"/>
      <c r="F174" s="33"/>
      <c r="G174" s="25"/>
      <c r="H174" s="25"/>
      <c r="I174" s="33"/>
      <c r="J174" s="28"/>
      <c r="K174" s="28"/>
      <c r="L174" s="28"/>
      <c r="M174" s="26"/>
      <c r="N174" s="32"/>
      <c r="O174" s="26"/>
      <c r="P174" s="28"/>
      <c r="Q174" s="26"/>
      <c r="R174" s="26"/>
      <c r="S174" s="26"/>
      <c r="T174" s="26"/>
    </row>
    <row r="175" spans="1:20">
      <c r="A175" s="25"/>
      <c r="B175" s="25"/>
      <c r="C175" s="31"/>
      <c r="D175" s="26"/>
      <c r="E175" s="32"/>
      <c r="F175" s="33"/>
      <c r="G175" s="25"/>
      <c r="H175" s="25"/>
      <c r="I175" s="33"/>
      <c r="J175" s="28"/>
      <c r="K175" s="28"/>
      <c r="L175" s="28"/>
      <c r="M175" s="26"/>
      <c r="N175" s="32"/>
      <c r="O175" s="26"/>
      <c r="P175" s="28"/>
      <c r="Q175" s="26"/>
      <c r="R175" s="26"/>
      <c r="S175" s="26"/>
      <c r="T175" s="26"/>
    </row>
    <row r="176" spans="1:20">
      <c r="A176" s="25"/>
      <c r="B176" s="25"/>
      <c r="C176" s="31"/>
      <c r="D176" s="26"/>
      <c r="E176" s="32"/>
      <c r="F176" s="33"/>
      <c r="G176" s="25"/>
      <c r="H176" s="25"/>
      <c r="I176" s="33"/>
      <c r="J176" s="28"/>
      <c r="K176" s="28"/>
      <c r="L176" s="28"/>
      <c r="M176" s="26"/>
      <c r="N176" s="32"/>
      <c r="O176" s="26"/>
      <c r="P176" s="28"/>
      <c r="Q176" s="26"/>
      <c r="R176" s="26"/>
      <c r="S176" s="26"/>
      <c r="T176" s="26"/>
    </row>
    <row r="177" spans="1:20">
      <c r="A177" s="25"/>
      <c r="B177" s="25"/>
      <c r="C177" s="31"/>
      <c r="D177" s="26"/>
      <c r="E177" s="32"/>
      <c r="F177" s="33"/>
      <c r="G177" s="25"/>
      <c r="H177" s="25"/>
      <c r="I177" s="33"/>
      <c r="J177" s="28"/>
      <c r="K177" s="28"/>
      <c r="L177" s="28"/>
      <c r="M177" s="26"/>
      <c r="N177" s="32"/>
      <c r="O177" s="26"/>
      <c r="P177" s="28"/>
      <c r="Q177" s="26"/>
      <c r="R177" s="26"/>
      <c r="S177" s="26"/>
      <c r="T177" s="26"/>
    </row>
    <row r="178" spans="1:20">
      <c r="A178" s="25"/>
      <c r="B178" s="25"/>
      <c r="C178" s="31"/>
      <c r="D178" s="26"/>
      <c r="E178" s="32"/>
      <c r="F178" s="33"/>
      <c r="G178" s="25"/>
      <c r="H178" s="25"/>
      <c r="I178" s="33"/>
      <c r="J178" s="28"/>
      <c r="K178" s="28"/>
      <c r="L178" s="28"/>
      <c r="M178" s="26"/>
      <c r="N178" s="32"/>
      <c r="O178" s="26"/>
      <c r="P178" s="28"/>
      <c r="Q178" s="26"/>
      <c r="R178" s="26"/>
      <c r="S178" s="26"/>
      <c r="T178" s="26"/>
    </row>
    <row r="179" spans="1:20">
      <c r="A179" s="25"/>
      <c r="B179" s="25"/>
      <c r="C179" s="31"/>
      <c r="D179" s="26"/>
      <c r="E179" s="32"/>
      <c r="F179" s="33"/>
      <c r="G179" s="25"/>
      <c r="H179" s="25"/>
      <c r="I179" s="33"/>
      <c r="J179" s="28"/>
      <c r="K179" s="28"/>
      <c r="L179" s="28"/>
      <c r="M179" s="26"/>
      <c r="N179" s="32"/>
      <c r="O179" s="26"/>
      <c r="P179" s="28"/>
      <c r="Q179" s="26"/>
      <c r="R179" s="26"/>
      <c r="S179" s="26"/>
      <c r="T179" s="26"/>
    </row>
    <row r="180" spans="1:20">
      <c r="A180" s="25"/>
      <c r="B180" s="25"/>
      <c r="C180" s="31"/>
      <c r="D180" s="26"/>
      <c r="E180" s="32"/>
      <c r="F180" s="33"/>
      <c r="G180" s="25"/>
      <c r="H180" s="25"/>
      <c r="I180" s="33"/>
      <c r="J180" s="28"/>
      <c r="K180" s="28"/>
      <c r="L180" s="28"/>
      <c r="M180" s="26"/>
      <c r="N180" s="32"/>
      <c r="O180" s="26"/>
      <c r="P180" s="28"/>
      <c r="Q180" s="26"/>
      <c r="R180" s="26"/>
      <c r="S180" s="26"/>
      <c r="T180" s="26"/>
    </row>
    <row r="181" spans="1:20">
      <c r="A181" s="25"/>
      <c r="B181" s="25"/>
      <c r="C181" s="31"/>
      <c r="D181" s="26"/>
      <c r="E181" s="32"/>
      <c r="F181" s="33"/>
      <c r="G181" s="25"/>
      <c r="H181" s="25"/>
      <c r="I181" s="33"/>
      <c r="J181" s="28"/>
      <c r="K181" s="28"/>
      <c r="L181" s="28"/>
      <c r="M181" s="26"/>
      <c r="N181" s="32"/>
      <c r="O181" s="26"/>
      <c r="P181" s="28"/>
      <c r="Q181" s="26"/>
      <c r="R181" s="26"/>
      <c r="S181" s="26"/>
      <c r="T181" s="26"/>
    </row>
    <row r="182" spans="1:20">
      <c r="A182" s="25"/>
      <c r="B182" s="25"/>
      <c r="C182" s="31"/>
      <c r="D182" s="26"/>
      <c r="E182" s="32"/>
      <c r="F182" s="33"/>
      <c r="G182" s="25"/>
      <c r="H182" s="25"/>
      <c r="I182" s="33"/>
      <c r="J182" s="28"/>
      <c r="K182" s="28"/>
      <c r="L182" s="28"/>
      <c r="M182" s="26"/>
      <c r="N182" s="32"/>
      <c r="O182" s="26"/>
      <c r="P182" s="28"/>
      <c r="Q182" s="26"/>
      <c r="R182" s="26"/>
      <c r="S182" s="26"/>
      <c r="T182" s="26"/>
    </row>
    <row r="183" spans="1:20">
      <c r="A183" s="25"/>
      <c r="B183" s="25"/>
      <c r="C183" s="31"/>
      <c r="D183" s="26"/>
      <c r="E183" s="32"/>
      <c r="F183" s="33"/>
      <c r="G183" s="25"/>
      <c r="H183" s="25"/>
      <c r="I183" s="33"/>
      <c r="J183" s="28"/>
      <c r="K183" s="28"/>
      <c r="L183" s="28"/>
      <c r="M183" s="26"/>
      <c r="N183" s="32"/>
      <c r="O183" s="26"/>
      <c r="P183" s="28"/>
      <c r="Q183" s="26"/>
      <c r="R183" s="26"/>
      <c r="S183" s="26"/>
      <c r="T183" s="26"/>
    </row>
    <row r="184" spans="1:20">
      <c r="A184" s="25"/>
      <c r="B184" s="25"/>
      <c r="C184" s="31"/>
      <c r="D184" s="26"/>
      <c r="E184" s="32"/>
      <c r="F184" s="33"/>
      <c r="G184" s="25"/>
      <c r="H184" s="25"/>
      <c r="I184" s="33"/>
      <c r="J184" s="28"/>
      <c r="K184" s="28"/>
      <c r="L184" s="28"/>
      <c r="M184" s="26"/>
      <c r="N184" s="32"/>
      <c r="O184" s="26"/>
      <c r="P184" s="28"/>
      <c r="Q184" s="26"/>
      <c r="R184" s="26"/>
      <c r="S184" s="26"/>
      <c r="T184" s="26"/>
    </row>
    <row r="185" spans="1:20">
      <c r="A185" s="25"/>
      <c r="B185" s="25"/>
      <c r="C185" s="31"/>
      <c r="D185" s="26"/>
      <c r="E185" s="32"/>
      <c r="F185" s="33"/>
      <c r="G185" s="25"/>
      <c r="H185" s="25"/>
      <c r="I185" s="33"/>
      <c r="J185" s="28"/>
      <c r="K185" s="28"/>
      <c r="L185" s="28"/>
      <c r="M185" s="26"/>
      <c r="N185" s="32"/>
      <c r="O185" s="26"/>
      <c r="P185" s="28"/>
      <c r="Q185" s="26"/>
      <c r="R185" s="26"/>
      <c r="S185" s="26"/>
      <c r="T185" s="26"/>
    </row>
    <row r="186" spans="1:20">
      <c r="A186" s="25"/>
      <c r="B186" s="25"/>
      <c r="C186" s="31"/>
      <c r="D186" s="26"/>
      <c r="E186" s="32"/>
      <c r="F186" s="33"/>
      <c r="G186" s="25"/>
      <c r="H186" s="25"/>
      <c r="I186" s="33"/>
      <c r="J186" s="28"/>
      <c r="K186" s="28"/>
      <c r="L186" s="28"/>
      <c r="M186" s="26"/>
      <c r="N186" s="32"/>
      <c r="O186" s="26"/>
      <c r="P186" s="28"/>
      <c r="Q186" s="26"/>
      <c r="R186" s="26"/>
      <c r="S186" s="26"/>
      <c r="T186" s="26"/>
    </row>
    <row r="187" spans="1:20">
      <c r="A187" s="25"/>
      <c r="B187" s="25"/>
      <c r="C187" s="31"/>
      <c r="D187" s="26"/>
      <c r="E187" s="32"/>
      <c r="F187" s="33"/>
      <c r="G187" s="25"/>
      <c r="H187" s="25"/>
      <c r="I187" s="33"/>
      <c r="J187" s="28"/>
      <c r="K187" s="28"/>
      <c r="L187" s="28"/>
      <c r="M187" s="26"/>
      <c r="N187" s="32"/>
      <c r="O187" s="26"/>
      <c r="P187" s="28"/>
      <c r="Q187" s="26"/>
      <c r="R187" s="26"/>
      <c r="S187" s="26"/>
      <c r="T187" s="26"/>
    </row>
    <row r="188" spans="1:20">
      <c r="A188" s="25"/>
      <c r="B188" s="25"/>
      <c r="C188" s="31"/>
      <c r="D188" s="26"/>
      <c r="E188" s="32"/>
      <c r="F188" s="33"/>
      <c r="G188" s="25"/>
      <c r="H188" s="25"/>
      <c r="I188" s="33"/>
      <c r="J188" s="28"/>
      <c r="K188" s="28"/>
      <c r="L188" s="28"/>
      <c r="M188" s="26"/>
      <c r="N188" s="32"/>
      <c r="O188" s="26"/>
      <c r="P188" s="28"/>
      <c r="Q188" s="26"/>
      <c r="R188" s="26"/>
      <c r="S188" s="26"/>
      <c r="T188" s="26"/>
    </row>
    <row r="189" spans="1:20">
      <c r="A189" s="25"/>
      <c r="B189" s="25"/>
      <c r="C189" s="31"/>
      <c r="D189" s="26"/>
      <c r="E189" s="32"/>
      <c r="F189" s="33"/>
      <c r="G189" s="25"/>
      <c r="H189" s="25"/>
      <c r="I189" s="33"/>
      <c r="J189" s="28"/>
      <c r="K189" s="28"/>
      <c r="L189" s="28"/>
      <c r="M189" s="26"/>
      <c r="N189" s="32"/>
      <c r="O189" s="26"/>
      <c r="P189" s="28"/>
      <c r="Q189" s="26"/>
      <c r="R189" s="26"/>
      <c r="S189" s="26"/>
      <c r="T189" s="26"/>
    </row>
    <row r="190" spans="1:20">
      <c r="A190" s="25"/>
      <c r="B190" s="25"/>
      <c r="C190" s="31"/>
      <c r="D190" s="26"/>
      <c r="E190" s="32"/>
      <c r="F190" s="33"/>
      <c r="G190" s="25"/>
      <c r="H190" s="25"/>
      <c r="I190" s="33"/>
      <c r="J190" s="28"/>
      <c r="K190" s="28"/>
      <c r="L190" s="28"/>
      <c r="M190" s="26"/>
      <c r="N190" s="32"/>
      <c r="O190" s="26"/>
      <c r="P190" s="28"/>
      <c r="Q190" s="26"/>
      <c r="R190" s="26"/>
      <c r="S190" s="26"/>
      <c r="T190" s="26"/>
    </row>
    <row r="191" spans="1:20">
      <c r="A191" s="25"/>
      <c r="B191" s="25"/>
      <c r="C191" s="31"/>
      <c r="D191" s="26"/>
      <c r="E191" s="32"/>
      <c r="F191" s="33"/>
      <c r="G191" s="25"/>
      <c r="H191" s="25"/>
      <c r="I191" s="33"/>
      <c r="J191" s="28"/>
      <c r="K191" s="28"/>
      <c r="L191" s="28"/>
      <c r="M191" s="26"/>
      <c r="N191" s="32"/>
      <c r="O191" s="26"/>
      <c r="P191" s="28"/>
      <c r="Q191" s="26"/>
      <c r="R191" s="26"/>
      <c r="S191" s="26"/>
      <c r="T191" s="26"/>
    </row>
    <row r="192" spans="1:20">
      <c r="A192" s="25"/>
      <c r="B192" s="25"/>
      <c r="C192" s="31"/>
      <c r="D192" s="26"/>
      <c r="E192" s="32"/>
      <c r="F192" s="33"/>
      <c r="G192" s="25"/>
      <c r="H192" s="25"/>
      <c r="I192" s="33"/>
      <c r="J192" s="28"/>
      <c r="K192" s="28"/>
      <c r="L192" s="28"/>
      <c r="M192" s="26"/>
      <c r="N192" s="32"/>
      <c r="O192" s="26"/>
      <c r="P192" s="28"/>
      <c r="Q192" s="26"/>
      <c r="R192" s="26"/>
      <c r="S192" s="26"/>
      <c r="T192" s="26"/>
    </row>
    <row r="193" spans="1:20">
      <c r="A193" s="25"/>
      <c r="B193" s="25"/>
      <c r="C193" s="31"/>
      <c r="D193" s="26"/>
      <c r="E193" s="32"/>
      <c r="F193" s="33"/>
      <c r="G193" s="25"/>
      <c r="H193" s="25"/>
      <c r="I193" s="33"/>
      <c r="J193" s="28"/>
      <c r="K193" s="28"/>
      <c r="L193" s="28"/>
      <c r="M193" s="26"/>
      <c r="N193" s="32"/>
      <c r="O193" s="26"/>
      <c r="P193" s="28"/>
      <c r="Q193" s="26"/>
      <c r="R193" s="26"/>
      <c r="S193" s="26"/>
      <c r="T193" s="26"/>
    </row>
    <row r="194" spans="1:20">
      <c r="A194" s="25"/>
      <c r="B194" s="25"/>
      <c r="C194" s="31"/>
      <c r="D194" s="26"/>
      <c r="E194" s="32"/>
      <c r="F194" s="33"/>
      <c r="G194" s="25"/>
      <c r="H194" s="25"/>
      <c r="I194" s="33"/>
      <c r="J194" s="28"/>
      <c r="K194" s="28"/>
      <c r="L194" s="28"/>
      <c r="M194" s="26"/>
      <c r="N194" s="32"/>
      <c r="O194" s="26"/>
      <c r="P194" s="28"/>
      <c r="Q194" s="26"/>
      <c r="R194" s="26"/>
      <c r="S194" s="26"/>
      <c r="T194" s="26"/>
    </row>
    <row r="195" spans="1:20">
      <c r="A195" s="25"/>
      <c r="B195" s="25"/>
      <c r="C195" s="31"/>
      <c r="D195" s="26"/>
      <c r="E195" s="32"/>
      <c r="F195" s="33"/>
      <c r="G195" s="25"/>
      <c r="H195" s="25"/>
      <c r="I195" s="33"/>
      <c r="J195" s="28"/>
      <c r="K195" s="28"/>
      <c r="L195" s="28"/>
      <c r="M195" s="26"/>
      <c r="N195" s="32"/>
      <c r="O195" s="26"/>
      <c r="P195" s="28"/>
      <c r="Q195" s="26"/>
      <c r="R195" s="26"/>
      <c r="S195" s="26"/>
      <c r="T195" s="26"/>
    </row>
    <row r="196" spans="1:20">
      <c r="A196" s="25"/>
      <c r="B196" s="25"/>
      <c r="C196" s="31"/>
      <c r="D196" s="26"/>
      <c r="E196" s="32"/>
      <c r="F196" s="33"/>
      <c r="G196" s="25"/>
      <c r="H196" s="25"/>
      <c r="I196" s="33"/>
      <c r="J196" s="28"/>
      <c r="K196" s="28"/>
      <c r="L196" s="28"/>
      <c r="M196" s="26"/>
      <c r="N196" s="32"/>
      <c r="O196" s="26"/>
      <c r="P196" s="28"/>
      <c r="Q196" s="26"/>
      <c r="R196" s="26"/>
      <c r="S196" s="26"/>
      <c r="T196" s="26"/>
    </row>
    <row r="197" spans="1:20">
      <c r="A197" s="25"/>
      <c r="B197" s="25"/>
      <c r="C197" s="31"/>
      <c r="D197" s="26"/>
      <c r="E197" s="32"/>
      <c r="F197" s="33"/>
      <c r="G197" s="25"/>
      <c r="H197" s="25"/>
      <c r="I197" s="33"/>
      <c r="J197" s="28"/>
      <c r="K197" s="28"/>
      <c r="L197" s="28"/>
      <c r="M197" s="26"/>
      <c r="N197" s="32"/>
      <c r="O197" s="26"/>
      <c r="P197" s="28"/>
      <c r="Q197" s="26"/>
      <c r="R197" s="26"/>
      <c r="S197" s="26"/>
      <c r="T197" s="26"/>
    </row>
    <row r="198" spans="1:20">
      <c r="A198" s="25"/>
      <c r="B198" s="25"/>
      <c r="C198" s="31"/>
      <c r="D198" s="26"/>
      <c r="E198" s="32"/>
      <c r="F198" s="33"/>
      <c r="G198" s="25"/>
      <c r="H198" s="25"/>
      <c r="I198" s="33"/>
      <c r="J198" s="28"/>
      <c r="K198" s="28"/>
      <c r="L198" s="28"/>
      <c r="M198" s="26"/>
      <c r="N198" s="32"/>
      <c r="O198" s="26"/>
      <c r="P198" s="28"/>
      <c r="Q198" s="26"/>
      <c r="R198" s="26"/>
      <c r="S198" s="26"/>
      <c r="T198" s="26"/>
    </row>
    <row r="199" spans="1:20">
      <c r="A199" s="25"/>
      <c r="B199" s="25"/>
      <c r="C199" s="31"/>
      <c r="D199" s="26"/>
      <c r="E199" s="32"/>
      <c r="F199" s="33"/>
      <c r="G199" s="25"/>
      <c r="H199" s="25"/>
      <c r="I199" s="33"/>
      <c r="J199" s="28"/>
      <c r="K199" s="28"/>
      <c r="L199" s="28"/>
      <c r="M199" s="26"/>
      <c r="N199" s="32"/>
      <c r="O199" s="26"/>
      <c r="P199" s="28"/>
      <c r="Q199" s="26"/>
      <c r="R199" s="26"/>
      <c r="S199" s="26"/>
      <c r="T199" s="26"/>
    </row>
    <row r="200" spans="1:20">
      <c r="A200" s="25"/>
      <c r="B200" s="25"/>
      <c r="C200" s="31"/>
      <c r="D200" s="26"/>
      <c r="E200" s="32"/>
      <c r="F200" s="33"/>
      <c r="G200" s="25"/>
      <c r="H200" s="25"/>
      <c r="I200" s="33"/>
      <c r="J200" s="28"/>
      <c r="K200" s="28"/>
      <c r="L200" s="28"/>
      <c r="M200" s="26"/>
      <c r="N200" s="32"/>
      <c r="O200" s="26"/>
      <c r="P200" s="28"/>
      <c r="Q200" s="26"/>
      <c r="R200" s="26"/>
      <c r="S200" s="26"/>
      <c r="T200" s="26"/>
    </row>
    <row r="201" spans="1:20">
      <c r="A201" s="25"/>
      <c r="B201" s="25"/>
      <c r="C201" s="31"/>
      <c r="D201" s="26"/>
      <c r="E201" s="32"/>
      <c r="F201" s="33"/>
      <c r="G201" s="25"/>
      <c r="H201" s="25"/>
      <c r="I201" s="33"/>
      <c r="J201" s="28"/>
      <c r="K201" s="28"/>
      <c r="L201" s="28"/>
      <c r="M201" s="26"/>
      <c r="N201" s="32"/>
      <c r="O201" s="26"/>
      <c r="P201" s="28"/>
      <c r="Q201" s="26"/>
      <c r="R201" s="26"/>
      <c r="S201" s="26"/>
      <c r="T201" s="26"/>
    </row>
    <row r="202" spans="1:20">
      <c r="A202" s="25"/>
      <c r="B202" s="25"/>
      <c r="C202" s="31"/>
      <c r="D202" s="26"/>
      <c r="E202" s="32"/>
      <c r="F202" s="33"/>
      <c r="G202" s="25"/>
      <c r="H202" s="25"/>
      <c r="I202" s="33"/>
      <c r="J202" s="28"/>
      <c r="K202" s="28"/>
      <c r="L202" s="28"/>
      <c r="M202" s="26"/>
      <c r="N202" s="32"/>
      <c r="O202" s="26"/>
      <c r="P202" s="28"/>
      <c r="Q202" s="26"/>
      <c r="R202" s="26"/>
      <c r="S202" s="26"/>
      <c r="T202" s="26"/>
    </row>
    <row r="203" spans="1:20">
      <c r="A203" s="25"/>
      <c r="B203" s="25"/>
      <c r="C203" s="31"/>
      <c r="D203" s="26"/>
      <c r="E203" s="32"/>
      <c r="F203" s="33"/>
      <c r="G203" s="25"/>
      <c r="H203" s="25"/>
      <c r="I203" s="33"/>
      <c r="J203" s="28"/>
      <c r="K203" s="28"/>
      <c r="L203" s="28"/>
      <c r="M203" s="26"/>
      <c r="N203" s="32"/>
      <c r="O203" s="26"/>
      <c r="P203" s="28"/>
      <c r="Q203" s="26"/>
      <c r="R203" s="26"/>
      <c r="S203" s="26"/>
      <c r="T203" s="26"/>
    </row>
    <row r="204" spans="1:20">
      <c r="A204" s="25"/>
      <c r="B204" s="25"/>
      <c r="C204" s="31"/>
      <c r="D204" s="26"/>
      <c r="E204" s="32"/>
      <c r="F204" s="33"/>
      <c r="G204" s="25"/>
      <c r="H204" s="25"/>
      <c r="I204" s="33"/>
      <c r="J204" s="28"/>
      <c r="K204" s="28"/>
      <c r="L204" s="28"/>
      <c r="M204" s="26"/>
      <c r="N204" s="32"/>
      <c r="O204" s="26"/>
      <c r="P204" s="28"/>
      <c r="Q204" s="26"/>
      <c r="R204" s="26"/>
      <c r="S204" s="26"/>
      <c r="T204" s="26"/>
    </row>
    <row r="205" spans="1:20">
      <c r="A205" s="25"/>
      <c r="B205" s="25"/>
      <c r="D205" s="26"/>
      <c r="E205" s="32"/>
      <c r="H205" s="25"/>
      <c r="J205" s="28"/>
      <c r="M205" s="26"/>
      <c r="N205" s="32"/>
      <c r="R205" s="26"/>
      <c r="S205" s="26"/>
      <c r="T205" s="26"/>
    </row>
    <row r="206" spans="1:20">
      <c r="A206" s="25"/>
      <c r="B206" s="25"/>
      <c r="D206" s="26"/>
      <c r="E206" s="32"/>
      <c r="H206" s="25"/>
      <c r="J206" s="28"/>
      <c r="M206" s="26"/>
      <c r="N206" s="32"/>
      <c r="S206" s="26"/>
      <c r="T206" s="26"/>
    </row>
    <row r="207" spans="1:20">
      <c r="A207" s="25"/>
      <c r="B207" s="25"/>
      <c r="D207" s="26"/>
      <c r="E207" s="32"/>
      <c r="H207" s="25"/>
      <c r="J207" s="28"/>
      <c r="M207" s="26"/>
      <c r="N207" s="32"/>
    </row>
    <row r="208" spans="1:20">
      <c r="A208" s="25"/>
      <c r="B208" s="25"/>
      <c r="D208" s="26"/>
      <c r="E208" s="32"/>
      <c r="H208" s="25"/>
      <c r="J208" s="28"/>
      <c r="M208" s="26"/>
      <c r="N208" s="32"/>
    </row>
    <row r="209" spans="1:14">
      <c r="A209" s="25"/>
      <c r="B209" s="25"/>
      <c r="D209" s="26"/>
      <c r="E209" s="32"/>
      <c r="H209" s="25"/>
      <c r="J209" s="28"/>
      <c r="M209" s="26"/>
      <c r="N209" s="32"/>
    </row>
    <row r="210" spans="1:14">
      <c r="A210" s="25"/>
      <c r="B210" s="25"/>
      <c r="D210" s="26"/>
      <c r="E210" s="32"/>
      <c r="H210" s="25"/>
      <c r="J210" s="28"/>
      <c r="M210" s="26"/>
      <c r="N210" s="32"/>
    </row>
    <row r="211" spans="1:14">
      <c r="A211" s="25"/>
      <c r="B211" s="25"/>
      <c r="D211" s="26"/>
      <c r="E211" s="32"/>
      <c r="H211" s="25"/>
      <c r="J211" s="28"/>
      <c r="M211" s="26"/>
      <c r="N211" s="32"/>
    </row>
    <row r="212" spans="1:14">
      <c r="A212" s="25"/>
      <c r="B212" s="25"/>
      <c r="D212" s="26"/>
      <c r="E212" s="32"/>
      <c r="H212" s="25"/>
      <c r="J212" s="28"/>
      <c r="M212" s="26"/>
      <c r="N212" s="32"/>
    </row>
    <row r="213" spans="1:14">
      <c r="A213" s="25"/>
      <c r="B213" s="25"/>
      <c r="D213" s="26"/>
      <c r="E213" s="32"/>
      <c r="H213" s="25"/>
      <c r="J213" s="28"/>
      <c r="M213" s="26"/>
      <c r="N213" s="32"/>
    </row>
    <row r="214" spans="1:14">
      <c r="A214" s="25"/>
      <c r="B214" s="25"/>
      <c r="D214" s="26"/>
      <c r="E214" s="32"/>
      <c r="H214" s="25"/>
      <c r="J214" s="28"/>
      <c r="M214" s="26"/>
      <c r="N214" s="32"/>
    </row>
    <row r="215" spans="1:14">
      <c r="A215" s="25"/>
      <c r="B215" s="25"/>
      <c r="D215" s="26"/>
      <c r="E215" s="32"/>
      <c r="H215" s="25"/>
      <c r="J215" s="28"/>
      <c r="M215" s="26"/>
      <c r="N215" s="32"/>
    </row>
    <row r="216" spans="1:14">
      <c r="A216" s="25"/>
      <c r="B216" s="25"/>
      <c r="D216" s="26"/>
      <c r="E216" s="32"/>
      <c r="H216" s="25"/>
      <c r="J216" s="28"/>
      <c r="M216" s="26"/>
      <c r="N216" s="32"/>
    </row>
    <row r="217" spans="1:14">
      <c r="A217" s="25"/>
      <c r="B217" s="25"/>
      <c r="D217" s="26"/>
      <c r="E217" s="32"/>
      <c r="H217" s="25"/>
      <c r="J217" s="28"/>
      <c r="M217" s="26"/>
      <c r="N217" s="32"/>
    </row>
    <row r="218" spans="1:14">
      <c r="A218" s="25"/>
      <c r="B218" s="25"/>
      <c r="D218" s="26"/>
      <c r="E218" s="32"/>
      <c r="H218" s="25"/>
      <c r="J218" s="28"/>
      <c r="M218" s="26"/>
      <c r="N218" s="32"/>
    </row>
    <row r="219" spans="1:14">
      <c r="A219" s="25"/>
      <c r="B219" s="25"/>
      <c r="D219" s="26"/>
      <c r="E219" s="32"/>
      <c r="H219" s="25"/>
      <c r="J219" s="28"/>
      <c r="M219" s="26"/>
      <c r="N219" s="32"/>
    </row>
    <row r="220" spans="1:14">
      <c r="A220" s="25"/>
      <c r="B220" s="25"/>
      <c r="D220" s="26"/>
      <c r="E220" s="32"/>
      <c r="H220" s="25"/>
      <c r="J220" s="28"/>
      <c r="M220" s="26"/>
      <c r="N220" s="32"/>
    </row>
    <row r="221" spans="1:14">
      <c r="A221" s="25"/>
      <c r="B221" s="25"/>
      <c r="D221" s="26"/>
      <c r="E221" s="32"/>
      <c r="H221" s="25"/>
      <c r="J221" s="28"/>
      <c r="M221" s="26"/>
      <c r="N221" s="32"/>
    </row>
    <row r="222" spans="1:14">
      <c r="A222" s="25"/>
      <c r="B222" s="25"/>
      <c r="D222" s="26"/>
      <c r="E222" s="32"/>
      <c r="H222" s="25"/>
      <c r="J222" s="28"/>
      <c r="M222" s="26"/>
      <c r="N222" s="32"/>
    </row>
    <row r="223" spans="1:14">
      <c r="A223" s="25"/>
      <c r="B223" s="25"/>
      <c r="D223" s="26"/>
      <c r="E223" s="32"/>
      <c r="H223" s="25"/>
      <c r="J223" s="28"/>
      <c r="M223" s="26"/>
      <c r="N223" s="32"/>
    </row>
    <row r="224" spans="1:14">
      <c r="A224" s="25"/>
      <c r="B224" s="25"/>
      <c r="D224" s="26"/>
      <c r="E224" s="32"/>
      <c r="H224" s="25"/>
      <c r="J224" s="28"/>
      <c r="M224" s="26"/>
      <c r="N224" s="32"/>
    </row>
    <row r="225" spans="1:14">
      <c r="A225" s="25"/>
      <c r="B225" s="25"/>
      <c r="D225" s="26"/>
      <c r="E225" s="32"/>
      <c r="H225" s="25"/>
      <c r="J225" s="28"/>
      <c r="M225" s="26"/>
      <c r="N225" s="32"/>
    </row>
    <row r="226" spans="1:14">
      <c r="A226" s="25"/>
      <c r="B226" s="25"/>
      <c r="D226" s="26"/>
      <c r="E226" s="32"/>
      <c r="H226" s="25"/>
      <c r="J226" s="28"/>
      <c r="M226" s="26"/>
      <c r="N226" s="32"/>
    </row>
    <row r="227" spans="1:14">
      <c r="A227" s="25"/>
      <c r="B227" s="25"/>
      <c r="D227" s="26"/>
      <c r="E227" s="32"/>
      <c r="H227" s="25"/>
      <c r="J227" s="28"/>
      <c r="M227" s="26"/>
      <c r="N227" s="32"/>
    </row>
    <row r="228" spans="1:14">
      <c r="A228" s="25"/>
      <c r="B228" s="25"/>
      <c r="D228" s="26"/>
      <c r="E228" s="32"/>
      <c r="H228" s="25"/>
      <c r="J228" s="28"/>
      <c r="M228" s="26"/>
      <c r="N228" s="32"/>
    </row>
    <row r="229" spans="1:14">
      <c r="A229" s="25"/>
      <c r="B229" s="25"/>
      <c r="D229" s="26"/>
      <c r="E229" s="32"/>
      <c r="H229" s="25"/>
      <c r="J229" s="28"/>
      <c r="M229" s="26"/>
      <c r="N229" s="32"/>
    </row>
    <row r="230" spans="1:14">
      <c r="A230" s="25"/>
      <c r="B230" s="25"/>
      <c r="D230" s="26"/>
      <c r="E230" s="32"/>
      <c r="H230" s="25"/>
      <c r="J230" s="28"/>
      <c r="M230" s="26"/>
      <c r="N230" s="32"/>
    </row>
    <row r="231" spans="1:14">
      <c r="A231" s="25"/>
      <c r="B231" s="25"/>
      <c r="D231" s="26"/>
      <c r="E231" s="32"/>
      <c r="H231" s="25"/>
      <c r="J231" s="28"/>
      <c r="M231" s="26"/>
      <c r="N231" s="32"/>
    </row>
    <row r="232" spans="1:14">
      <c r="A232" s="25"/>
      <c r="B232" s="25"/>
      <c r="D232" s="26"/>
      <c r="E232" s="32"/>
      <c r="H232" s="25"/>
      <c r="J232" s="28"/>
      <c r="M232" s="26"/>
      <c r="N232" s="32"/>
    </row>
    <row r="233" spans="1:14">
      <c r="A233" s="25"/>
      <c r="B233" s="25"/>
      <c r="D233" s="26"/>
      <c r="E233" s="32"/>
      <c r="H233" s="25"/>
      <c r="J233" s="28"/>
      <c r="M233" s="26"/>
      <c r="N233" s="32"/>
    </row>
    <row r="234" spans="1:14">
      <c r="A234" s="25"/>
      <c r="B234" s="25"/>
      <c r="D234" s="26"/>
      <c r="E234" s="32"/>
      <c r="H234" s="25"/>
      <c r="J234" s="28"/>
      <c r="M234" s="26"/>
      <c r="N234" s="32"/>
    </row>
    <row r="235" spans="1:14">
      <c r="A235" s="25"/>
      <c r="B235" s="25"/>
      <c r="D235" s="26"/>
      <c r="E235" s="32"/>
      <c r="H235" s="25"/>
      <c r="J235" s="28"/>
      <c r="M235" s="26"/>
      <c r="N235" s="32"/>
    </row>
    <row r="236" spans="1:14">
      <c r="A236" s="25"/>
      <c r="B236" s="25"/>
      <c r="D236" s="26"/>
      <c r="E236" s="32"/>
      <c r="H236" s="25"/>
      <c r="J236" s="28"/>
      <c r="M236" s="26"/>
      <c r="N236" s="32"/>
    </row>
    <row r="237" spans="1:14">
      <c r="A237" s="25"/>
      <c r="B237" s="25"/>
      <c r="D237" s="26"/>
      <c r="E237" s="32"/>
      <c r="H237" s="25"/>
      <c r="J237" s="28"/>
      <c r="M237" s="26"/>
      <c r="N237" s="32"/>
    </row>
    <row r="238" spans="1:14">
      <c r="A238" s="25"/>
      <c r="B238" s="25"/>
      <c r="D238" s="26"/>
      <c r="E238" s="32"/>
      <c r="H238" s="25"/>
      <c r="J238" s="28"/>
      <c r="M238" s="26"/>
      <c r="N238" s="32"/>
    </row>
    <row r="239" spans="1:14">
      <c r="A239" s="25"/>
      <c r="B239" s="25"/>
      <c r="D239" s="26"/>
      <c r="E239" s="32"/>
      <c r="H239" s="25"/>
      <c r="J239" s="28"/>
      <c r="M239" s="26"/>
      <c r="N239" s="32"/>
    </row>
    <row r="240" spans="1:14">
      <c r="A240" s="25"/>
      <c r="B240" s="25"/>
      <c r="D240" s="26"/>
      <c r="E240" s="32"/>
      <c r="H240" s="25"/>
      <c r="J240" s="28"/>
      <c r="M240" s="26"/>
      <c r="N240" s="32"/>
    </row>
    <row r="241" spans="1:14">
      <c r="A241" s="25"/>
      <c r="B241" s="25"/>
      <c r="D241" s="26"/>
      <c r="E241" s="32"/>
      <c r="H241" s="25"/>
      <c r="J241" s="28"/>
      <c r="M241" s="26"/>
      <c r="N241" s="32"/>
    </row>
    <row r="242" spans="1:14">
      <c r="A242" s="25"/>
      <c r="B242" s="25"/>
      <c r="D242" s="26"/>
      <c r="E242" s="32"/>
      <c r="H242" s="25"/>
      <c r="J242" s="28"/>
      <c r="M242" s="26"/>
      <c r="N242" s="32"/>
    </row>
    <row r="243" spans="1:14">
      <c r="A243" s="25"/>
      <c r="B243" s="25"/>
      <c r="D243" s="26"/>
      <c r="E243" s="32"/>
      <c r="H243" s="25"/>
      <c r="J243" s="28"/>
      <c r="M243" s="26"/>
      <c r="N243" s="32"/>
    </row>
    <row r="244" spans="1:14">
      <c r="A244" s="25"/>
      <c r="B244" s="25"/>
      <c r="D244" s="26"/>
      <c r="E244" s="32"/>
      <c r="H244" s="25"/>
      <c r="J244" s="28"/>
      <c r="M244" s="26"/>
      <c r="N244" s="32"/>
    </row>
    <row r="245" spans="1:14">
      <c r="A245" s="25"/>
      <c r="B245" s="25"/>
      <c r="D245" s="26"/>
      <c r="E245" s="32"/>
      <c r="H245" s="25"/>
      <c r="J245" s="28"/>
      <c r="M245" s="26"/>
      <c r="N245" s="32"/>
    </row>
    <row r="246" spans="1:14">
      <c r="A246" s="25"/>
      <c r="B246" s="25"/>
      <c r="D246" s="26"/>
      <c r="E246" s="32"/>
      <c r="H246" s="25"/>
      <c r="J246" s="28"/>
      <c r="M246" s="26"/>
      <c r="N246" s="32"/>
    </row>
    <row r="247" spans="1:14">
      <c r="A247" s="25"/>
      <c r="B247" s="25"/>
      <c r="D247" s="26"/>
      <c r="E247" s="32"/>
      <c r="H247" s="25"/>
      <c r="J247" s="28"/>
      <c r="M247" s="26"/>
      <c r="N247" s="32"/>
    </row>
    <row r="248" spans="1:14">
      <c r="A248" s="25"/>
      <c r="B248" s="25"/>
      <c r="D248" s="26"/>
      <c r="E248" s="32"/>
      <c r="H248" s="25"/>
      <c r="J248" s="28"/>
      <c r="M248" s="26"/>
      <c r="N248" s="32"/>
    </row>
    <row r="249" spans="1:14">
      <c r="A249" s="25"/>
      <c r="B249" s="25"/>
      <c r="D249" s="26"/>
      <c r="E249" s="32"/>
      <c r="H249" s="25"/>
      <c r="J249" s="28"/>
      <c r="M249" s="26"/>
      <c r="N249" s="32"/>
    </row>
    <row r="250" spans="1:14">
      <c r="A250" s="25"/>
      <c r="B250" s="25"/>
      <c r="D250" s="26"/>
      <c r="E250" s="32"/>
      <c r="H250" s="25"/>
      <c r="J250" s="28"/>
      <c r="M250" s="26"/>
      <c r="N250" s="32"/>
    </row>
    <row r="251" spans="1:14">
      <c r="A251" s="25"/>
      <c r="B251" s="25"/>
      <c r="D251" s="26"/>
      <c r="E251" s="32"/>
      <c r="H251" s="25"/>
      <c r="J251" s="28"/>
      <c r="M251" s="26"/>
      <c r="N251" s="32"/>
    </row>
    <row r="252" spans="1:14">
      <c r="A252" s="25"/>
      <c r="B252" s="25"/>
      <c r="D252" s="26"/>
      <c r="E252" s="32"/>
      <c r="H252" s="25"/>
      <c r="J252" s="28"/>
      <c r="M252" s="26"/>
      <c r="N252" s="32"/>
    </row>
    <row r="253" spans="1:14">
      <c r="A253" s="25"/>
      <c r="B253" s="25"/>
      <c r="D253" s="26"/>
      <c r="E253" s="32"/>
      <c r="H253" s="25"/>
      <c r="J253" s="28"/>
      <c r="M253" s="26"/>
      <c r="N253" s="32"/>
    </row>
    <row r="254" spans="1:14">
      <c r="A254" s="25"/>
      <c r="B254" s="25"/>
      <c r="D254" s="26"/>
      <c r="E254" s="32"/>
      <c r="H254" s="25"/>
      <c r="J254" s="28"/>
      <c r="M254" s="26"/>
      <c r="N254" s="32"/>
    </row>
    <row r="255" spans="1:14">
      <c r="A255" s="25"/>
      <c r="B255" s="25"/>
      <c r="D255" s="26"/>
      <c r="E255" s="32"/>
      <c r="H255" s="25"/>
      <c r="J255" s="28"/>
      <c r="M255" s="26"/>
      <c r="N255" s="32"/>
    </row>
    <row r="256" spans="1:14">
      <c r="A256" s="25"/>
      <c r="B256" s="25"/>
      <c r="D256" s="26"/>
      <c r="E256" s="32"/>
      <c r="H256" s="25"/>
      <c r="J256" s="28"/>
      <c r="M256" s="26"/>
      <c r="N256" s="32"/>
    </row>
    <row r="257" spans="1:14">
      <c r="A257" s="25"/>
      <c r="B257" s="25"/>
      <c r="D257" s="26"/>
      <c r="E257" s="32"/>
      <c r="H257" s="25"/>
      <c r="J257" s="28"/>
      <c r="M257" s="26"/>
      <c r="N257" s="32"/>
    </row>
    <row r="258" spans="1:14">
      <c r="A258" s="25"/>
      <c r="B258" s="25"/>
      <c r="D258" s="26"/>
      <c r="E258" s="32"/>
      <c r="H258" s="25"/>
      <c r="J258" s="28"/>
      <c r="M258" s="26"/>
      <c r="N258" s="32"/>
    </row>
    <row r="259" spans="1:14">
      <c r="A259" s="25"/>
      <c r="B259" s="25"/>
      <c r="D259" s="26"/>
      <c r="E259" s="32"/>
      <c r="H259" s="25"/>
      <c r="J259" s="28"/>
      <c r="M259" s="26"/>
      <c r="N259" s="32"/>
    </row>
    <row r="260" spans="1:14">
      <c r="A260" s="25"/>
      <c r="B260" s="25"/>
      <c r="D260" s="26"/>
      <c r="E260" s="32"/>
      <c r="H260" s="25"/>
      <c r="J260" s="28"/>
      <c r="M260" s="26"/>
      <c r="N260" s="32"/>
    </row>
    <row r="261" spans="1:14">
      <c r="A261" s="25"/>
      <c r="B261" s="25"/>
      <c r="D261" s="26"/>
      <c r="E261" s="32"/>
      <c r="H261" s="25"/>
      <c r="J261" s="28"/>
      <c r="M261" s="26"/>
      <c r="N261" s="32"/>
    </row>
    <row r="262" spans="1:14">
      <c r="A262" s="25"/>
      <c r="B262" s="25"/>
      <c r="D262" s="26"/>
      <c r="E262" s="32"/>
      <c r="H262" s="25"/>
      <c r="J262" s="28"/>
      <c r="M262" s="26"/>
      <c r="N262" s="32"/>
    </row>
    <row r="263" spans="1:14">
      <c r="A263" s="25"/>
      <c r="B263" s="25"/>
      <c r="D263" s="26"/>
      <c r="E263" s="32"/>
      <c r="H263" s="25"/>
      <c r="J263" s="28"/>
      <c r="M263" s="26"/>
      <c r="N263" s="32"/>
    </row>
    <row r="264" spans="1:14">
      <c r="A264" s="25"/>
      <c r="B264" s="25"/>
      <c r="D264" s="26"/>
      <c r="E264" s="32"/>
      <c r="H264" s="25"/>
      <c r="J264" s="28"/>
      <c r="M264" s="26"/>
      <c r="N264" s="32"/>
    </row>
    <row r="265" spans="1:14">
      <c r="A265" s="25"/>
      <c r="B265" s="25"/>
      <c r="D265" s="26"/>
      <c r="E265" s="32"/>
      <c r="H265" s="25"/>
      <c r="J265" s="28"/>
      <c r="M265" s="26"/>
      <c r="N265" s="32"/>
    </row>
    <row r="266" spans="1:14">
      <c r="A266" s="25"/>
      <c r="B266" s="25"/>
      <c r="D266" s="26"/>
      <c r="E266" s="32"/>
      <c r="H266" s="25"/>
      <c r="J266" s="28"/>
      <c r="M266" s="26"/>
      <c r="N266" s="32"/>
    </row>
    <row r="267" spans="1:14">
      <c r="A267" s="25"/>
      <c r="B267" s="25"/>
      <c r="D267" s="26"/>
      <c r="E267" s="32"/>
      <c r="H267" s="25"/>
      <c r="J267" s="28"/>
      <c r="M267" s="26"/>
      <c r="N267" s="32"/>
    </row>
    <row r="268" spans="1:14">
      <c r="A268" s="25"/>
      <c r="B268" s="25"/>
      <c r="D268" s="26"/>
      <c r="E268" s="32"/>
      <c r="H268" s="25"/>
      <c r="J268" s="28"/>
      <c r="M268" s="26"/>
      <c r="N268" s="32"/>
    </row>
    <row r="269" spans="1:14">
      <c r="A269" s="25"/>
      <c r="B269" s="25"/>
      <c r="D269" s="26"/>
      <c r="E269" s="32"/>
      <c r="H269" s="25"/>
      <c r="J269" s="28"/>
      <c r="M269" s="26"/>
      <c r="N269" s="32"/>
    </row>
    <row r="270" spans="1:14">
      <c r="A270" s="25"/>
      <c r="B270" s="25"/>
      <c r="D270" s="26"/>
      <c r="E270" s="32"/>
      <c r="H270" s="25"/>
      <c r="J270" s="28"/>
      <c r="M270" s="26"/>
      <c r="N270" s="32"/>
    </row>
    <row r="271" spans="1:14">
      <c r="A271" s="25"/>
      <c r="B271" s="25"/>
      <c r="D271" s="26"/>
      <c r="E271" s="32"/>
      <c r="H271" s="25"/>
      <c r="J271" s="28"/>
      <c r="M271" s="26"/>
      <c r="N271" s="32"/>
    </row>
    <row r="272" spans="1:14">
      <c r="A272" s="25"/>
      <c r="B272" s="25"/>
      <c r="D272" s="26"/>
      <c r="E272" s="32"/>
      <c r="H272" s="25"/>
      <c r="J272" s="28"/>
      <c r="M272" s="26"/>
      <c r="N272" s="32"/>
    </row>
    <row r="273" spans="1:14">
      <c r="A273" s="25"/>
      <c r="B273" s="25"/>
      <c r="D273" s="26"/>
      <c r="E273" s="32"/>
      <c r="H273" s="25"/>
      <c r="J273" s="28"/>
      <c r="M273" s="26"/>
      <c r="N273" s="32"/>
    </row>
    <row r="274" spans="1:14">
      <c r="A274" s="25"/>
      <c r="B274" s="25"/>
      <c r="D274" s="26"/>
      <c r="E274" s="32"/>
      <c r="H274" s="25"/>
      <c r="J274" s="28"/>
      <c r="M274" s="26"/>
      <c r="N274" s="32"/>
    </row>
    <row r="275" spans="1:14">
      <c r="A275" s="25"/>
      <c r="B275" s="25"/>
      <c r="D275" s="26"/>
      <c r="E275" s="32"/>
      <c r="H275" s="25"/>
      <c r="J275" s="28"/>
      <c r="M275" s="26"/>
      <c r="N275" s="32"/>
    </row>
    <row r="276" spans="1:14">
      <c r="A276" s="25"/>
      <c r="B276" s="25"/>
      <c r="D276" s="26"/>
      <c r="E276" s="32"/>
      <c r="H276" s="25"/>
      <c r="J276" s="28"/>
      <c r="M276" s="26"/>
      <c r="N276" s="32"/>
    </row>
    <row r="277" spans="1:14">
      <c r="A277" s="25"/>
      <c r="B277" s="25"/>
      <c r="D277" s="26"/>
      <c r="E277" s="32"/>
      <c r="H277" s="25"/>
      <c r="J277" s="28"/>
      <c r="M277" s="26"/>
      <c r="N277" s="32"/>
    </row>
    <row r="278" spans="1:14">
      <c r="A278" s="25"/>
      <c r="B278" s="25"/>
      <c r="D278" s="26"/>
      <c r="E278" s="32"/>
      <c r="H278" s="25"/>
      <c r="J278" s="28"/>
      <c r="M278" s="26"/>
      <c r="N278" s="32"/>
    </row>
    <row r="279" spans="1:14">
      <c r="A279" s="25"/>
      <c r="B279" s="25"/>
      <c r="D279" s="26"/>
      <c r="E279" s="32"/>
      <c r="H279" s="25"/>
      <c r="J279" s="28"/>
      <c r="M279" s="26"/>
      <c r="N279" s="32"/>
    </row>
    <row r="280" spans="1:14">
      <c r="A280" s="25"/>
      <c r="B280" s="25"/>
      <c r="D280" s="26"/>
      <c r="E280" s="32"/>
      <c r="H280" s="25"/>
      <c r="J280" s="28"/>
      <c r="M280" s="26"/>
      <c r="N280" s="32"/>
    </row>
    <row r="281" spans="1:14">
      <c r="A281" s="25"/>
      <c r="B281" s="25"/>
      <c r="D281" s="26"/>
      <c r="E281" s="32"/>
      <c r="H281" s="25"/>
      <c r="J281" s="28"/>
      <c r="M281" s="26"/>
      <c r="N281" s="32"/>
    </row>
    <row r="282" spans="1:14">
      <c r="A282" s="25"/>
      <c r="B282" s="25"/>
      <c r="D282" s="26"/>
      <c r="E282" s="32"/>
      <c r="H282" s="25"/>
      <c r="J282" s="28"/>
      <c r="M282" s="26"/>
      <c r="N282" s="32"/>
    </row>
    <row r="283" spans="1:14">
      <c r="A283" s="25"/>
      <c r="B283" s="25"/>
      <c r="D283" s="26"/>
      <c r="E283" s="32"/>
      <c r="H283" s="25"/>
      <c r="J283" s="28"/>
      <c r="M283" s="26"/>
      <c r="N283" s="32"/>
    </row>
    <row r="284" spans="1:14">
      <c r="A284" s="25"/>
      <c r="B284" s="25"/>
      <c r="D284" s="26"/>
      <c r="E284" s="32"/>
      <c r="H284" s="25"/>
      <c r="J284" s="28"/>
      <c r="M284" s="26"/>
      <c r="N284" s="32"/>
    </row>
    <row r="285" spans="1:14">
      <c r="A285" s="25"/>
      <c r="B285" s="25"/>
      <c r="D285" s="26"/>
      <c r="E285" s="32"/>
      <c r="H285" s="25"/>
      <c r="J285" s="28"/>
      <c r="M285" s="26"/>
      <c r="N285" s="32"/>
    </row>
    <row r="286" spans="1:14">
      <c r="A286" s="25"/>
      <c r="B286" s="25"/>
      <c r="D286" s="26"/>
      <c r="E286" s="32"/>
      <c r="H286" s="25"/>
      <c r="J286" s="28"/>
      <c r="M286" s="26"/>
      <c r="N286" s="32"/>
    </row>
    <row r="287" spans="1:14">
      <c r="A287" s="25"/>
      <c r="B287" s="25"/>
      <c r="D287" s="26"/>
      <c r="E287" s="32"/>
      <c r="H287" s="25"/>
      <c r="J287" s="28"/>
      <c r="M287" s="26"/>
      <c r="N287" s="32"/>
    </row>
    <row r="288" spans="1:14">
      <c r="A288" s="25"/>
      <c r="B288" s="25"/>
      <c r="D288" s="26"/>
      <c r="E288" s="32"/>
      <c r="H288" s="25"/>
      <c r="J288" s="28"/>
      <c r="M288" s="26"/>
      <c r="N288" s="32"/>
    </row>
    <row r="289" spans="1:14">
      <c r="A289" s="25"/>
      <c r="B289" s="25"/>
      <c r="D289" s="26"/>
      <c r="E289" s="32"/>
      <c r="H289" s="25"/>
      <c r="J289" s="28"/>
      <c r="M289" s="26"/>
      <c r="N289" s="32"/>
    </row>
    <row r="290" spans="1:14">
      <c r="A290" s="25"/>
      <c r="B290" s="25"/>
      <c r="D290" s="26"/>
      <c r="E290" s="32"/>
      <c r="H290" s="25"/>
      <c r="J290" s="28"/>
      <c r="M290" s="26"/>
      <c r="N290" s="32"/>
    </row>
    <row r="291" spans="1:14">
      <c r="A291" s="25"/>
      <c r="B291" s="25"/>
      <c r="D291" s="26"/>
      <c r="E291" s="32"/>
      <c r="H291" s="25"/>
      <c r="J291" s="28"/>
      <c r="M291" s="26"/>
      <c r="N291" s="32"/>
    </row>
    <row r="292" spans="1:14">
      <c r="A292" s="25"/>
      <c r="B292" s="25"/>
      <c r="D292" s="26"/>
      <c r="E292" s="32"/>
      <c r="H292" s="25"/>
      <c r="J292" s="28"/>
      <c r="M292" s="26"/>
      <c r="N292" s="32"/>
    </row>
    <row r="293" spans="1:14">
      <c r="A293" s="25"/>
      <c r="B293" s="25"/>
      <c r="D293" s="26"/>
      <c r="E293" s="32"/>
      <c r="H293" s="25"/>
      <c r="J293" s="28"/>
      <c r="M293" s="26"/>
      <c r="N293" s="32"/>
    </row>
    <row r="294" spans="1:14">
      <c r="A294" s="25"/>
      <c r="B294" s="25"/>
      <c r="D294" s="26"/>
      <c r="E294" s="32"/>
      <c r="H294" s="25"/>
      <c r="J294" s="28"/>
      <c r="M294" s="26"/>
      <c r="N294" s="32"/>
    </row>
    <row r="295" spans="1:14">
      <c r="A295" s="25"/>
      <c r="B295" s="25"/>
      <c r="D295" s="26"/>
      <c r="E295" s="32"/>
      <c r="H295" s="25"/>
      <c r="J295" s="28"/>
      <c r="M295" s="26"/>
      <c r="N295" s="32"/>
    </row>
    <row r="296" spans="1:14">
      <c r="A296" s="25"/>
      <c r="B296" s="25"/>
      <c r="D296" s="26"/>
      <c r="E296" s="32"/>
      <c r="H296" s="25"/>
      <c r="J296" s="28"/>
      <c r="M296" s="26"/>
      <c r="N296" s="32"/>
    </row>
    <row r="297" spans="1:14">
      <c r="A297" s="25"/>
      <c r="B297" s="25"/>
      <c r="D297" s="26"/>
      <c r="E297" s="32"/>
      <c r="H297" s="25"/>
      <c r="J297" s="28"/>
      <c r="M297" s="26"/>
      <c r="N297" s="32"/>
    </row>
    <row r="298" spans="1:14">
      <c r="A298" s="25"/>
      <c r="B298" s="25"/>
      <c r="D298" s="26"/>
      <c r="E298" s="32"/>
      <c r="H298" s="25"/>
      <c r="J298" s="28"/>
      <c r="M298" s="26"/>
      <c r="N298" s="32"/>
    </row>
    <row r="299" spans="1:14">
      <c r="A299" s="25"/>
      <c r="B299" s="25"/>
      <c r="D299" s="26"/>
      <c r="E299" s="32"/>
      <c r="H299" s="25"/>
      <c r="J299" s="28"/>
      <c r="M299" s="26"/>
      <c r="N299" s="32"/>
    </row>
    <row r="300" spans="1:14">
      <c r="A300" s="25"/>
      <c r="B300" s="25"/>
      <c r="D300" s="26"/>
      <c r="E300" s="32"/>
      <c r="H300" s="25"/>
      <c r="J300" s="28"/>
      <c r="M300" s="26"/>
      <c r="N300" s="32"/>
    </row>
    <row r="301" spans="1:14">
      <c r="A301" s="25"/>
      <c r="B301" s="25"/>
      <c r="D301" s="26"/>
      <c r="E301" s="32"/>
      <c r="H301" s="25"/>
      <c r="J301" s="28"/>
      <c r="M301" s="26"/>
      <c r="N301" s="32"/>
    </row>
    <row r="302" spans="1:14">
      <c r="A302" s="25"/>
      <c r="B302" s="25"/>
      <c r="D302" s="26"/>
      <c r="E302" s="32"/>
      <c r="H302" s="25"/>
      <c r="J302" s="28"/>
      <c r="M302" s="26"/>
      <c r="N302" s="32"/>
    </row>
    <row r="303" spans="1:14">
      <c r="A303" s="25"/>
      <c r="B303" s="25"/>
      <c r="D303" s="26"/>
      <c r="E303" s="32"/>
      <c r="H303" s="25"/>
      <c r="J303" s="28"/>
      <c r="M303" s="26"/>
      <c r="N303" s="32"/>
    </row>
    <row r="304" spans="1:14">
      <c r="A304" s="25"/>
      <c r="B304" s="25"/>
      <c r="D304" s="26"/>
      <c r="E304" s="32"/>
      <c r="H304" s="25"/>
      <c r="J304" s="28"/>
      <c r="M304" s="26"/>
      <c r="N304" s="32"/>
    </row>
    <row r="305" spans="1:14">
      <c r="A305" s="25"/>
      <c r="B305" s="25"/>
      <c r="D305" s="26"/>
      <c r="E305" s="32"/>
      <c r="H305" s="25"/>
      <c r="J305" s="28"/>
      <c r="M305" s="26"/>
      <c r="N305" s="32"/>
    </row>
    <row r="306" spans="1:14">
      <c r="A306" s="25"/>
      <c r="B306" s="25"/>
      <c r="D306" s="26"/>
      <c r="E306" s="32"/>
      <c r="H306" s="25"/>
      <c r="J306" s="28"/>
      <c r="M306" s="26"/>
      <c r="N306" s="32"/>
    </row>
    <row r="307" spans="1:14">
      <c r="A307" s="25"/>
      <c r="B307" s="25"/>
      <c r="D307" s="26"/>
      <c r="E307" s="32"/>
      <c r="H307" s="25"/>
      <c r="J307" s="28"/>
      <c r="M307" s="26"/>
      <c r="N307" s="32"/>
    </row>
    <row r="308" spans="1:14">
      <c r="A308" s="25"/>
      <c r="B308" s="25"/>
      <c r="D308" s="26"/>
      <c r="E308" s="32"/>
      <c r="H308" s="25"/>
      <c r="J308" s="28"/>
      <c r="M308" s="26"/>
      <c r="N308" s="32"/>
    </row>
    <row r="309" spans="1:14">
      <c r="A309" s="25"/>
      <c r="B309" s="25"/>
      <c r="D309" s="26"/>
      <c r="E309" s="32"/>
      <c r="H309" s="25"/>
      <c r="J309" s="28"/>
      <c r="M309" s="26"/>
      <c r="N309" s="32"/>
    </row>
    <row r="310" spans="1:14">
      <c r="A310" s="25"/>
      <c r="B310" s="25"/>
      <c r="D310" s="26"/>
      <c r="E310" s="32"/>
      <c r="H310" s="25"/>
      <c r="J310" s="28"/>
      <c r="M310" s="26"/>
      <c r="N310" s="32"/>
    </row>
    <row r="311" spans="1:14">
      <c r="A311" s="25"/>
      <c r="B311" s="25"/>
      <c r="D311" s="26"/>
      <c r="E311" s="32"/>
      <c r="H311" s="25"/>
      <c r="J311" s="28"/>
      <c r="M311" s="26"/>
      <c r="N311" s="32"/>
    </row>
    <row r="312" spans="1:14">
      <c r="A312" s="25"/>
    </row>
    <row r="313" spans="1:14">
      <c r="A313" s="25"/>
    </row>
    <row r="314" spans="1:14">
      <c r="A314" s="25"/>
    </row>
    <row r="315" spans="1:14">
      <c r="A315" s="25"/>
    </row>
    <row r="316" spans="1:14">
      <c r="A316" s="25"/>
    </row>
  </sheetData>
  <autoFilter ref="A1:Q1" xr:uid="{00000000-0009-0000-0000-000002000000}"/>
  <phoneticPr fontId="2" type="noConversion"/>
  <conditionalFormatting sqref="D2:D37">
    <cfRule type="duplicateValues" dxfId="11" priority="3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C0DAF-0B44-4C00-8224-98B72292C9A7}">
  <sheetPr codeName="Planilha2">
    <pageSetUpPr fitToPage="1"/>
  </sheetPr>
  <dimension ref="A1:CL450"/>
  <sheetViews>
    <sheetView showGridLines="0" zoomScaleNormal="100" workbookViewId="0">
      <pane ySplit="2" topLeftCell="A410" activePane="bottomLeft" state="frozen"/>
      <selection pane="bottomLeft" activeCell="G354" sqref="G354:G420"/>
    </sheetView>
  </sheetViews>
  <sheetFormatPr defaultRowHeight="14.4"/>
  <cols>
    <col min="1" max="1" width="4" style="45" customWidth="1"/>
    <col min="2" max="2" width="16.33203125" bestFit="1" customWidth="1"/>
    <col min="3" max="3" width="38.44140625" bestFit="1" customWidth="1"/>
    <col min="4" max="4" width="15.109375" bestFit="1" customWidth="1"/>
    <col min="5" max="5" width="17.33203125" bestFit="1" customWidth="1"/>
    <col min="6" max="6" width="16.5546875" style="16" bestFit="1" customWidth="1"/>
    <col min="7" max="7" width="11.88671875" bestFit="1" customWidth="1"/>
    <col min="8" max="8" width="19.6640625" customWidth="1"/>
    <col min="9" max="9" width="11" bestFit="1" customWidth="1"/>
    <col min="10" max="10" width="2" style="45" customWidth="1"/>
    <col min="11" max="11" width="9.44140625" style="45" bestFit="1" customWidth="1"/>
    <col min="12" max="12" width="5" style="45" bestFit="1" customWidth="1"/>
    <col min="13" max="13" width="14.88671875" style="45" bestFit="1" customWidth="1"/>
    <col min="14" max="14" width="15.44140625" style="45" bestFit="1" customWidth="1"/>
    <col min="15" max="15" width="30.88671875" style="45" bestFit="1" customWidth="1"/>
    <col min="16" max="90" width="9.109375" style="45"/>
  </cols>
  <sheetData>
    <row r="1" spans="1:9" ht="66" customHeight="1">
      <c r="B1" s="45"/>
      <c r="C1" s="45"/>
      <c r="D1" s="45"/>
      <c r="E1" s="45"/>
      <c r="F1" s="45"/>
      <c r="G1" s="45"/>
      <c r="H1" s="45"/>
      <c r="I1" s="45"/>
    </row>
    <row r="2" spans="1:9">
      <c r="A2" s="61"/>
      <c r="B2" s="11" t="s">
        <v>46</v>
      </c>
      <c r="C2" s="11" t="s">
        <v>59</v>
      </c>
      <c r="D2" s="11" t="s">
        <v>50</v>
      </c>
      <c r="E2" s="11" t="s">
        <v>51</v>
      </c>
      <c r="F2" s="11" t="s">
        <v>60</v>
      </c>
      <c r="G2" s="12" t="s">
        <v>47</v>
      </c>
      <c r="H2" s="11" t="s">
        <v>52</v>
      </c>
      <c r="I2" s="11" t="s">
        <v>61</v>
      </c>
    </row>
    <row r="3" spans="1:9">
      <c r="A3" s="61"/>
      <c r="B3" s="7" t="s">
        <v>62</v>
      </c>
      <c r="C3" s="10" t="s">
        <v>56</v>
      </c>
      <c r="D3" s="3" t="s">
        <v>53</v>
      </c>
      <c r="E3" s="13">
        <v>51490</v>
      </c>
      <c r="F3" s="14">
        <v>46134</v>
      </c>
      <c r="G3" s="15">
        <v>46167</v>
      </c>
      <c r="H3" s="17" t="s">
        <v>63</v>
      </c>
      <c r="I3" s="5" t="s">
        <v>64</v>
      </c>
    </row>
    <row r="4" spans="1:9">
      <c r="A4" s="61"/>
      <c r="B4" s="7" t="s">
        <v>62</v>
      </c>
      <c r="C4" s="10" t="s">
        <v>56</v>
      </c>
      <c r="D4" s="7" t="s">
        <v>53</v>
      </c>
      <c r="E4" s="13">
        <v>10298</v>
      </c>
      <c r="F4" s="14">
        <v>46154</v>
      </c>
      <c r="G4" s="15">
        <v>46185</v>
      </c>
      <c r="H4" s="17" t="s">
        <v>63</v>
      </c>
      <c r="I4" s="5" t="s">
        <v>64</v>
      </c>
    </row>
    <row r="5" spans="1:9">
      <c r="A5" s="61"/>
      <c r="B5" s="7" t="s">
        <v>62</v>
      </c>
      <c r="C5" s="10" t="s">
        <v>56</v>
      </c>
      <c r="D5" s="7" t="s">
        <v>53</v>
      </c>
      <c r="E5" s="13">
        <v>10298</v>
      </c>
      <c r="F5" s="14">
        <v>46155</v>
      </c>
      <c r="G5" s="15">
        <v>46186</v>
      </c>
      <c r="H5" s="17" t="s">
        <v>63</v>
      </c>
      <c r="I5" s="5" t="s">
        <v>64</v>
      </c>
    </row>
    <row r="6" spans="1:9">
      <c r="A6" s="61"/>
      <c r="B6" s="7" t="s">
        <v>62</v>
      </c>
      <c r="C6" s="10" t="s">
        <v>56</v>
      </c>
      <c r="D6" s="7" t="s">
        <v>53</v>
      </c>
      <c r="E6" s="13">
        <v>10298</v>
      </c>
      <c r="F6" s="14">
        <v>46156</v>
      </c>
      <c r="G6" s="15">
        <v>46187</v>
      </c>
      <c r="H6" s="17" t="s">
        <v>63</v>
      </c>
      <c r="I6" s="5" t="s">
        <v>64</v>
      </c>
    </row>
    <row r="7" spans="1:9">
      <c r="A7" s="61"/>
      <c r="B7" s="7" t="s">
        <v>62</v>
      </c>
      <c r="C7" s="10" t="s">
        <v>56</v>
      </c>
      <c r="D7" s="7" t="s">
        <v>53</v>
      </c>
      <c r="E7" s="13">
        <v>10298</v>
      </c>
      <c r="F7" s="14">
        <v>46157</v>
      </c>
      <c r="G7" s="15">
        <v>46188</v>
      </c>
      <c r="H7" s="17" t="s">
        <v>63</v>
      </c>
      <c r="I7" s="5" t="s">
        <v>64</v>
      </c>
    </row>
    <row r="8" spans="1:9">
      <c r="A8" s="61"/>
      <c r="B8" s="7" t="s">
        <v>62</v>
      </c>
      <c r="C8" s="10" t="s">
        <v>56</v>
      </c>
      <c r="D8" s="7" t="s">
        <v>53</v>
      </c>
      <c r="E8" s="13">
        <v>10298</v>
      </c>
      <c r="F8" s="14">
        <v>46160</v>
      </c>
      <c r="G8" s="15">
        <v>46191</v>
      </c>
      <c r="H8" s="17" t="s">
        <v>63</v>
      </c>
      <c r="I8" s="5" t="s">
        <v>64</v>
      </c>
    </row>
    <row r="9" spans="1:9">
      <c r="A9" s="61"/>
      <c r="B9" s="7" t="s">
        <v>54</v>
      </c>
      <c r="C9" s="25" t="s">
        <v>49</v>
      </c>
      <c r="D9" s="25" t="s">
        <v>48</v>
      </c>
      <c r="E9" s="13">
        <v>38304.97</v>
      </c>
      <c r="F9" s="14">
        <v>46169</v>
      </c>
      <c r="G9" s="15">
        <v>46198</v>
      </c>
      <c r="H9" s="26" t="s">
        <v>144</v>
      </c>
      <c r="I9" s="5" t="s">
        <v>64</v>
      </c>
    </row>
    <row r="10" spans="1:9">
      <c r="A10" s="61"/>
      <c r="B10" s="7" t="s">
        <v>54</v>
      </c>
      <c r="C10" s="25" t="s">
        <v>49</v>
      </c>
      <c r="D10" s="25" t="s">
        <v>48</v>
      </c>
      <c r="E10" s="13">
        <v>18584.310000000001</v>
      </c>
      <c r="F10" s="14">
        <v>46169</v>
      </c>
      <c r="G10" s="15">
        <v>46198</v>
      </c>
      <c r="H10" s="26" t="s">
        <v>145</v>
      </c>
      <c r="I10" s="5" t="s">
        <v>64</v>
      </c>
    </row>
    <row r="11" spans="1:9">
      <c r="A11" s="61"/>
      <c r="B11" s="7" t="s">
        <v>54</v>
      </c>
      <c r="C11" s="25" t="s">
        <v>49</v>
      </c>
      <c r="D11" s="25" t="s">
        <v>48</v>
      </c>
      <c r="E11" s="13">
        <v>34993.800000000003</v>
      </c>
      <c r="F11" s="14">
        <v>46169</v>
      </c>
      <c r="G11" s="15">
        <v>46198</v>
      </c>
      <c r="H11" s="26" t="s">
        <v>146</v>
      </c>
      <c r="I11" s="5" t="s">
        <v>64</v>
      </c>
    </row>
    <row r="12" spans="1:9">
      <c r="A12" s="61"/>
      <c r="B12" s="7" t="s">
        <v>54</v>
      </c>
      <c r="C12" s="25" t="s">
        <v>49</v>
      </c>
      <c r="D12" s="25" t="s">
        <v>48</v>
      </c>
      <c r="E12" s="13">
        <v>43104.89</v>
      </c>
      <c r="F12" s="14">
        <v>46169</v>
      </c>
      <c r="G12" s="15">
        <v>46198</v>
      </c>
      <c r="H12" s="26" t="s">
        <v>147</v>
      </c>
      <c r="I12" s="5" t="s">
        <v>64</v>
      </c>
    </row>
    <row r="13" spans="1:9">
      <c r="A13" s="61"/>
      <c r="B13" s="7" t="s">
        <v>54</v>
      </c>
      <c r="C13" s="25" t="s">
        <v>49</v>
      </c>
      <c r="D13" s="25" t="s">
        <v>48</v>
      </c>
      <c r="E13" s="13">
        <v>39621.379999999997</v>
      </c>
      <c r="F13" s="14">
        <v>46169</v>
      </c>
      <c r="G13" s="15">
        <v>46198</v>
      </c>
      <c r="H13" s="26" t="s">
        <v>148</v>
      </c>
      <c r="I13" s="5" t="s">
        <v>64</v>
      </c>
    </row>
    <row r="14" spans="1:9">
      <c r="A14" s="61"/>
      <c r="B14" s="7" t="s">
        <v>54</v>
      </c>
      <c r="C14" s="25" t="s">
        <v>49</v>
      </c>
      <c r="D14" s="25" t="s">
        <v>48</v>
      </c>
      <c r="E14" s="13">
        <v>12544.96</v>
      </c>
      <c r="F14" s="14">
        <v>46169</v>
      </c>
      <c r="G14" s="15">
        <v>46198</v>
      </c>
      <c r="H14" s="26" t="s">
        <v>149</v>
      </c>
      <c r="I14" s="5" t="s">
        <v>64</v>
      </c>
    </row>
    <row r="15" spans="1:9">
      <c r="A15" s="61"/>
      <c r="B15" s="7" t="s">
        <v>54</v>
      </c>
      <c r="C15" s="25" t="s">
        <v>49</v>
      </c>
      <c r="D15" s="25" t="s">
        <v>48</v>
      </c>
      <c r="E15" s="13">
        <v>11982.66</v>
      </c>
      <c r="F15" s="14">
        <v>46169</v>
      </c>
      <c r="G15" s="15">
        <v>46198</v>
      </c>
      <c r="H15" s="26" t="s">
        <v>150</v>
      </c>
      <c r="I15" s="5" t="s">
        <v>64</v>
      </c>
    </row>
    <row r="16" spans="1:9">
      <c r="A16" s="61"/>
      <c r="B16" s="7" t="s">
        <v>54</v>
      </c>
      <c r="C16" s="25" t="s">
        <v>49</v>
      </c>
      <c r="D16" s="25" t="s">
        <v>48</v>
      </c>
      <c r="E16" s="13">
        <v>5348.93</v>
      </c>
      <c r="F16" s="14">
        <v>46169</v>
      </c>
      <c r="G16" s="15">
        <v>46198</v>
      </c>
      <c r="H16" s="26" t="s">
        <v>151</v>
      </c>
      <c r="I16" s="5" t="s">
        <v>64</v>
      </c>
    </row>
    <row r="17" spans="1:9">
      <c r="A17" s="61"/>
      <c r="B17" s="7" t="s">
        <v>54</v>
      </c>
      <c r="C17" s="25" t="s">
        <v>49</v>
      </c>
      <c r="D17" s="25" t="s">
        <v>48</v>
      </c>
      <c r="E17" s="13">
        <v>31494.43</v>
      </c>
      <c r="F17" s="14">
        <v>46169</v>
      </c>
      <c r="G17" s="15">
        <v>46198</v>
      </c>
      <c r="H17" s="26" t="s">
        <v>152</v>
      </c>
      <c r="I17" s="5" t="s">
        <v>64</v>
      </c>
    </row>
    <row r="18" spans="1:9">
      <c r="A18" s="61"/>
      <c r="B18" s="7" t="s">
        <v>54</v>
      </c>
      <c r="C18" s="25" t="s">
        <v>49</v>
      </c>
      <c r="D18" s="25" t="s">
        <v>48</v>
      </c>
      <c r="E18" s="13">
        <v>22503.18</v>
      </c>
      <c r="F18" s="14">
        <v>46169</v>
      </c>
      <c r="G18" s="15">
        <v>46198</v>
      </c>
      <c r="H18" s="26" t="s">
        <v>153</v>
      </c>
      <c r="I18" s="5" t="s">
        <v>64</v>
      </c>
    </row>
    <row r="19" spans="1:9">
      <c r="A19" s="61"/>
      <c r="B19" s="7" t="s">
        <v>54</v>
      </c>
      <c r="C19" s="25" t="s">
        <v>49</v>
      </c>
      <c r="D19" s="25" t="s">
        <v>48</v>
      </c>
      <c r="E19" s="13">
        <v>16865.349999999999</v>
      </c>
      <c r="F19" s="14">
        <v>46169</v>
      </c>
      <c r="G19" s="15">
        <v>46198</v>
      </c>
      <c r="H19" s="26" t="s">
        <v>154</v>
      </c>
      <c r="I19" s="5" t="s">
        <v>64</v>
      </c>
    </row>
    <row r="20" spans="1:9">
      <c r="A20" s="61"/>
      <c r="B20" s="7" t="s">
        <v>54</v>
      </c>
      <c r="C20" s="25" t="s">
        <v>49</v>
      </c>
      <c r="D20" s="25" t="s">
        <v>48</v>
      </c>
      <c r="E20" s="13">
        <v>14085.77</v>
      </c>
      <c r="F20" s="14">
        <v>46169</v>
      </c>
      <c r="G20" s="15">
        <v>46198</v>
      </c>
      <c r="H20" s="26" t="s">
        <v>155</v>
      </c>
      <c r="I20" s="5" t="s">
        <v>64</v>
      </c>
    </row>
    <row r="21" spans="1:9">
      <c r="A21" s="61"/>
      <c r="B21" s="7" t="s">
        <v>54</v>
      </c>
      <c r="C21" s="25" t="s">
        <v>49</v>
      </c>
      <c r="D21" s="25" t="s">
        <v>48</v>
      </c>
      <c r="E21" s="13">
        <v>103231.17</v>
      </c>
      <c r="F21" s="14">
        <v>46169</v>
      </c>
      <c r="G21" s="15">
        <v>46198</v>
      </c>
      <c r="H21" s="26" t="s">
        <v>156</v>
      </c>
      <c r="I21" s="5" t="s">
        <v>64</v>
      </c>
    </row>
    <row r="22" spans="1:9">
      <c r="A22" s="61"/>
      <c r="B22" s="7" t="s">
        <v>54</v>
      </c>
      <c r="C22" s="25" t="s">
        <v>49</v>
      </c>
      <c r="D22" s="25" t="s">
        <v>48</v>
      </c>
      <c r="E22" s="13">
        <v>128978.67</v>
      </c>
      <c r="F22" s="14">
        <v>46169</v>
      </c>
      <c r="G22" s="15">
        <v>46198</v>
      </c>
      <c r="H22" s="26" t="s">
        <v>157</v>
      </c>
      <c r="I22" s="5" t="s">
        <v>64</v>
      </c>
    </row>
    <row r="23" spans="1:9">
      <c r="A23" s="61"/>
      <c r="B23" s="7" t="s">
        <v>54</v>
      </c>
      <c r="C23" s="25" t="s">
        <v>49</v>
      </c>
      <c r="D23" s="25" t="s">
        <v>55</v>
      </c>
      <c r="E23" s="13">
        <v>24728.85</v>
      </c>
      <c r="F23" s="14">
        <v>46169</v>
      </c>
      <c r="G23" s="15">
        <v>46198</v>
      </c>
      <c r="H23" s="26" t="s">
        <v>158</v>
      </c>
      <c r="I23" s="5" t="s">
        <v>64</v>
      </c>
    </row>
    <row r="24" spans="1:9">
      <c r="A24" s="61"/>
      <c r="B24" s="7" t="s">
        <v>54</v>
      </c>
      <c r="C24" s="25" t="s">
        <v>49</v>
      </c>
      <c r="D24" s="25" t="s">
        <v>48</v>
      </c>
      <c r="E24" s="13">
        <v>24728.85</v>
      </c>
      <c r="F24" s="14">
        <v>46169</v>
      </c>
      <c r="G24" s="15">
        <v>46198</v>
      </c>
      <c r="H24" s="26" t="s">
        <v>159</v>
      </c>
      <c r="I24" s="5" t="s">
        <v>64</v>
      </c>
    </row>
    <row r="25" spans="1:9">
      <c r="A25" s="61"/>
      <c r="B25" s="7" t="s">
        <v>54</v>
      </c>
      <c r="C25" s="25" t="s">
        <v>49</v>
      </c>
      <c r="D25" s="25" t="s">
        <v>48</v>
      </c>
      <c r="E25" s="13">
        <v>3647.17</v>
      </c>
      <c r="F25" s="14">
        <v>46169</v>
      </c>
      <c r="G25" s="15">
        <v>46198</v>
      </c>
      <c r="H25" s="26" t="s">
        <v>160</v>
      </c>
      <c r="I25" s="5" t="s">
        <v>64</v>
      </c>
    </row>
    <row r="26" spans="1:9">
      <c r="A26" s="61"/>
      <c r="B26" s="7" t="s">
        <v>54</v>
      </c>
      <c r="C26" s="25" t="s">
        <v>49</v>
      </c>
      <c r="D26" s="25" t="s">
        <v>55</v>
      </c>
      <c r="E26" s="13">
        <v>3647.17</v>
      </c>
      <c r="F26" s="14">
        <v>46170</v>
      </c>
      <c r="G26" s="15">
        <v>46198</v>
      </c>
      <c r="H26" s="26" t="s">
        <v>161</v>
      </c>
      <c r="I26" s="5" t="s">
        <v>64</v>
      </c>
    </row>
    <row r="27" spans="1:9">
      <c r="A27" s="61"/>
      <c r="B27" s="7" t="s">
        <v>54</v>
      </c>
      <c r="C27" s="25" t="s">
        <v>49</v>
      </c>
      <c r="D27" s="25" t="s">
        <v>55</v>
      </c>
      <c r="E27" s="13">
        <v>3647.17</v>
      </c>
      <c r="F27" s="14">
        <v>46170</v>
      </c>
      <c r="G27" s="15">
        <v>46198</v>
      </c>
      <c r="H27" s="26" t="s">
        <v>162</v>
      </c>
      <c r="I27" s="5" t="s">
        <v>64</v>
      </c>
    </row>
    <row r="28" spans="1:9">
      <c r="A28" s="61"/>
      <c r="B28" s="7" t="s">
        <v>54</v>
      </c>
      <c r="C28" s="25" t="s">
        <v>49</v>
      </c>
      <c r="D28" s="25" t="s">
        <v>55</v>
      </c>
      <c r="E28" s="13">
        <v>14588.7</v>
      </c>
      <c r="F28" s="14">
        <v>46170</v>
      </c>
      <c r="G28" s="15">
        <v>46198</v>
      </c>
      <c r="H28" s="26" t="s">
        <v>163</v>
      </c>
      <c r="I28" s="5" t="s">
        <v>64</v>
      </c>
    </row>
    <row r="29" spans="1:9">
      <c r="A29" s="61"/>
      <c r="B29" s="7" t="s">
        <v>54</v>
      </c>
      <c r="C29" s="25" t="s">
        <v>49</v>
      </c>
      <c r="D29" s="25" t="s">
        <v>48</v>
      </c>
      <c r="E29" s="13">
        <v>11031.38</v>
      </c>
      <c r="F29" s="14">
        <v>46170</v>
      </c>
      <c r="G29" s="15">
        <v>46198</v>
      </c>
      <c r="H29" s="26" t="s">
        <v>164</v>
      </c>
      <c r="I29" s="5" t="s">
        <v>64</v>
      </c>
    </row>
    <row r="30" spans="1:9">
      <c r="A30" s="61"/>
      <c r="B30" s="7" t="s">
        <v>54</v>
      </c>
      <c r="C30" s="25" t="s">
        <v>49</v>
      </c>
      <c r="D30" s="25" t="s">
        <v>55</v>
      </c>
      <c r="E30" s="13">
        <v>3647.17</v>
      </c>
      <c r="F30" s="14">
        <v>46170</v>
      </c>
      <c r="G30" s="15">
        <v>46198</v>
      </c>
      <c r="H30" s="26" t="s">
        <v>165</v>
      </c>
      <c r="I30" s="5" t="s">
        <v>64</v>
      </c>
    </row>
    <row r="31" spans="1:9">
      <c r="A31" s="61"/>
      <c r="B31" s="7" t="s">
        <v>54</v>
      </c>
      <c r="C31" s="25" t="s">
        <v>49</v>
      </c>
      <c r="D31" s="25" t="s">
        <v>55</v>
      </c>
      <c r="E31" s="13">
        <v>3647.17</v>
      </c>
      <c r="F31" s="14">
        <v>46170</v>
      </c>
      <c r="G31" s="15">
        <v>46198</v>
      </c>
      <c r="H31" s="26" t="s">
        <v>166</v>
      </c>
      <c r="I31" s="5" t="s">
        <v>64</v>
      </c>
    </row>
    <row r="32" spans="1:9">
      <c r="B32" s="7" t="s">
        <v>54</v>
      </c>
      <c r="C32" s="25" t="s">
        <v>49</v>
      </c>
      <c r="D32" s="25" t="s">
        <v>48</v>
      </c>
      <c r="E32" s="13">
        <v>49994.49</v>
      </c>
      <c r="F32" s="14">
        <v>46170</v>
      </c>
      <c r="G32" s="15">
        <v>46198</v>
      </c>
      <c r="H32" s="26" t="s">
        <v>167</v>
      </c>
      <c r="I32" s="5" t="s">
        <v>64</v>
      </c>
    </row>
    <row r="33" spans="2:9">
      <c r="B33" s="7" t="s">
        <v>54</v>
      </c>
      <c r="C33" s="25" t="s">
        <v>49</v>
      </c>
      <c r="D33" s="25" t="s">
        <v>48</v>
      </c>
      <c r="E33" s="13">
        <v>30285.96</v>
      </c>
      <c r="F33" s="14">
        <v>46170</v>
      </c>
      <c r="G33" s="15">
        <v>46198</v>
      </c>
      <c r="H33" s="26" t="s">
        <v>168</v>
      </c>
      <c r="I33" s="5" t="s">
        <v>64</v>
      </c>
    </row>
    <row r="34" spans="2:9">
      <c r="B34" s="7" t="s">
        <v>54</v>
      </c>
      <c r="C34" s="25" t="s">
        <v>49</v>
      </c>
      <c r="D34" s="25" t="s">
        <v>55</v>
      </c>
      <c r="E34" s="13">
        <v>15235.78</v>
      </c>
      <c r="F34" s="14">
        <v>46170</v>
      </c>
      <c r="G34" s="15">
        <v>46198</v>
      </c>
      <c r="H34" s="26" t="s">
        <v>169</v>
      </c>
      <c r="I34" s="5" t="s">
        <v>64</v>
      </c>
    </row>
    <row r="35" spans="2:9">
      <c r="B35" s="7" t="s">
        <v>54</v>
      </c>
      <c r="C35" s="25" t="s">
        <v>49</v>
      </c>
      <c r="D35" s="25" t="s">
        <v>48</v>
      </c>
      <c r="E35" s="13">
        <v>49457.72</v>
      </c>
      <c r="F35" s="14">
        <v>46170</v>
      </c>
      <c r="G35" s="15">
        <v>46198</v>
      </c>
      <c r="H35" s="26" t="s">
        <v>170</v>
      </c>
      <c r="I35" s="5" t="s">
        <v>64</v>
      </c>
    </row>
    <row r="36" spans="2:9">
      <c r="B36" s="7" t="s">
        <v>54</v>
      </c>
      <c r="C36" s="25" t="s">
        <v>49</v>
      </c>
      <c r="D36" s="25" t="s">
        <v>48</v>
      </c>
      <c r="E36" s="13">
        <v>9417.26</v>
      </c>
      <c r="F36" s="14">
        <v>46170</v>
      </c>
      <c r="G36" s="15">
        <v>46198</v>
      </c>
      <c r="H36" s="26" t="s">
        <v>171</v>
      </c>
      <c r="I36" s="5" t="s">
        <v>64</v>
      </c>
    </row>
    <row r="37" spans="2:9">
      <c r="B37" s="7" t="s">
        <v>54</v>
      </c>
      <c r="C37" s="25" t="s">
        <v>49</v>
      </c>
      <c r="D37" s="25" t="s">
        <v>55</v>
      </c>
      <c r="E37" s="13">
        <v>6478.11</v>
      </c>
      <c r="F37" s="14">
        <v>46170</v>
      </c>
      <c r="G37" s="15">
        <v>46198</v>
      </c>
      <c r="H37" s="26" t="s">
        <v>172</v>
      </c>
      <c r="I37" s="5" t="s">
        <v>64</v>
      </c>
    </row>
    <row r="38" spans="2:9">
      <c r="B38" s="7" t="s">
        <v>54</v>
      </c>
      <c r="C38" s="25" t="s">
        <v>49</v>
      </c>
      <c r="D38" s="25" t="s">
        <v>48</v>
      </c>
      <c r="E38" s="13">
        <v>43845.04</v>
      </c>
      <c r="F38" s="14">
        <v>46170</v>
      </c>
      <c r="G38" s="15">
        <v>46198</v>
      </c>
      <c r="H38" s="26" t="s">
        <v>173</v>
      </c>
      <c r="I38" s="5" t="s">
        <v>64</v>
      </c>
    </row>
    <row r="39" spans="2:9">
      <c r="B39" s="7" t="s">
        <v>54</v>
      </c>
      <c r="C39" s="25" t="s">
        <v>49</v>
      </c>
      <c r="D39" s="25" t="s">
        <v>48</v>
      </c>
      <c r="E39" s="13">
        <v>35047.85</v>
      </c>
      <c r="F39" s="14">
        <v>46170</v>
      </c>
      <c r="G39" s="15">
        <v>46198</v>
      </c>
      <c r="H39" s="26" t="s">
        <v>174</v>
      </c>
      <c r="I39" s="5" t="s">
        <v>64</v>
      </c>
    </row>
    <row r="40" spans="2:9">
      <c r="B40" s="7" t="s">
        <v>54</v>
      </c>
      <c r="C40" s="25" t="s">
        <v>49</v>
      </c>
      <c r="D40" s="25" t="s">
        <v>48</v>
      </c>
      <c r="E40" s="13">
        <v>13836.15</v>
      </c>
      <c r="F40" s="14">
        <v>46170</v>
      </c>
      <c r="G40" s="15">
        <v>46198</v>
      </c>
      <c r="H40" s="26" t="s">
        <v>175</v>
      </c>
      <c r="I40" s="5" t="s">
        <v>64</v>
      </c>
    </row>
    <row r="41" spans="2:9">
      <c r="B41" s="7" t="s">
        <v>54</v>
      </c>
      <c r="C41" s="25" t="s">
        <v>49</v>
      </c>
      <c r="D41" s="25" t="s">
        <v>48</v>
      </c>
      <c r="E41" s="13">
        <v>75632.899999999994</v>
      </c>
      <c r="F41" s="14">
        <v>46170</v>
      </c>
      <c r="G41" s="15">
        <v>46198</v>
      </c>
      <c r="H41" s="26" t="s">
        <v>176</v>
      </c>
      <c r="I41" s="5" t="s">
        <v>64</v>
      </c>
    </row>
    <row r="42" spans="2:9">
      <c r="B42" s="7" t="s">
        <v>54</v>
      </c>
      <c r="C42" s="25" t="s">
        <v>49</v>
      </c>
      <c r="D42" s="25" t="s">
        <v>48</v>
      </c>
      <c r="E42" s="13">
        <v>11717.15</v>
      </c>
      <c r="F42" s="14">
        <v>46170</v>
      </c>
      <c r="G42" s="15">
        <v>46198</v>
      </c>
      <c r="H42" s="26" t="s">
        <v>177</v>
      </c>
      <c r="I42" s="5" t="s">
        <v>64</v>
      </c>
    </row>
    <row r="43" spans="2:9">
      <c r="B43" s="7" t="s">
        <v>54</v>
      </c>
      <c r="C43" s="25" t="s">
        <v>49</v>
      </c>
      <c r="D43" s="25" t="s">
        <v>55</v>
      </c>
      <c r="E43" s="13">
        <v>2431.4499999999998</v>
      </c>
      <c r="F43" s="14">
        <v>46170</v>
      </c>
      <c r="G43" s="15">
        <v>46198</v>
      </c>
      <c r="H43" s="26" t="s">
        <v>178</v>
      </c>
      <c r="I43" s="5" t="s">
        <v>64</v>
      </c>
    </row>
    <row r="44" spans="2:9">
      <c r="B44" s="7" t="s">
        <v>54</v>
      </c>
      <c r="C44" s="25" t="s">
        <v>49</v>
      </c>
      <c r="D44" s="25" t="s">
        <v>48</v>
      </c>
      <c r="E44" s="13">
        <v>11869.85</v>
      </c>
      <c r="F44" s="14">
        <v>46170</v>
      </c>
      <c r="G44" s="15">
        <v>46198</v>
      </c>
      <c r="H44" s="26" t="s">
        <v>179</v>
      </c>
      <c r="I44" s="5" t="s">
        <v>64</v>
      </c>
    </row>
    <row r="45" spans="2:9">
      <c r="B45" s="7" t="s">
        <v>54</v>
      </c>
      <c r="C45" s="25" t="s">
        <v>49</v>
      </c>
      <c r="D45" s="25" t="s">
        <v>48</v>
      </c>
      <c r="E45" s="13">
        <v>34617.870000000003</v>
      </c>
      <c r="F45" s="14">
        <v>46170</v>
      </c>
      <c r="G45" s="15">
        <v>46198</v>
      </c>
      <c r="H45" s="26" t="s">
        <v>180</v>
      </c>
      <c r="I45" s="5" t="s">
        <v>64</v>
      </c>
    </row>
    <row r="46" spans="2:9">
      <c r="B46" s="7" t="s">
        <v>54</v>
      </c>
      <c r="C46" s="25" t="s">
        <v>49</v>
      </c>
      <c r="D46" s="25" t="s">
        <v>48</v>
      </c>
      <c r="E46" s="13">
        <v>8387.85</v>
      </c>
      <c r="F46" s="14">
        <v>46170</v>
      </c>
      <c r="G46" s="15">
        <v>46198</v>
      </c>
      <c r="H46" s="26" t="s">
        <v>181</v>
      </c>
      <c r="I46" s="5" t="s">
        <v>64</v>
      </c>
    </row>
    <row r="47" spans="2:9">
      <c r="B47" s="7" t="s">
        <v>54</v>
      </c>
      <c r="C47" s="25" t="s">
        <v>49</v>
      </c>
      <c r="D47" s="25" t="s">
        <v>48</v>
      </c>
      <c r="E47" s="13">
        <v>41504.559999999998</v>
      </c>
      <c r="F47" s="14">
        <v>46170</v>
      </c>
      <c r="G47" s="15">
        <v>46198</v>
      </c>
      <c r="H47" s="26" t="s">
        <v>182</v>
      </c>
      <c r="I47" s="5" t="s">
        <v>64</v>
      </c>
    </row>
    <row r="48" spans="2:9">
      <c r="B48" s="7" t="s">
        <v>54</v>
      </c>
      <c r="C48" s="25" t="s">
        <v>49</v>
      </c>
      <c r="D48" s="25" t="s">
        <v>48</v>
      </c>
      <c r="E48" s="13">
        <v>27435.43</v>
      </c>
      <c r="F48" s="14">
        <v>46170</v>
      </c>
      <c r="G48" s="15">
        <v>46198</v>
      </c>
      <c r="H48" s="26" t="s">
        <v>183</v>
      </c>
      <c r="I48" s="5" t="s">
        <v>64</v>
      </c>
    </row>
    <row r="49" spans="2:9">
      <c r="B49" s="7" t="s">
        <v>54</v>
      </c>
      <c r="C49" s="25" t="s">
        <v>49</v>
      </c>
      <c r="D49" s="25" t="s">
        <v>48</v>
      </c>
      <c r="E49" s="13">
        <v>54640.44</v>
      </c>
      <c r="F49" s="14">
        <v>46170</v>
      </c>
      <c r="G49" s="15">
        <v>46198</v>
      </c>
      <c r="H49" s="26" t="s">
        <v>184</v>
      </c>
      <c r="I49" s="5" t="s">
        <v>64</v>
      </c>
    </row>
    <row r="50" spans="2:9">
      <c r="B50" s="7" t="s">
        <v>54</v>
      </c>
      <c r="C50" s="25" t="s">
        <v>49</v>
      </c>
      <c r="D50" s="25" t="s">
        <v>48</v>
      </c>
      <c r="E50" s="13">
        <v>55604.7</v>
      </c>
      <c r="F50" s="14">
        <v>46170</v>
      </c>
      <c r="G50" s="15">
        <v>46198</v>
      </c>
      <c r="H50" s="26" t="s">
        <v>185</v>
      </c>
      <c r="I50" s="5" t="s">
        <v>64</v>
      </c>
    </row>
    <row r="51" spans="2:9">
      <c r="B51" s="7" t="s">
        <v>54</v>
      </c>
      <c r="C51" s="25" t="s">
        <v>49</v>
      </c>
      <c r="D51" s="25" t="s">
        <v>48</v>
      </c>
      <c r="E51" s="13">
        <v>44042.559999999998</v>
      </c>
      <c r="F51" s="14">
        <v>46170</v>
      </c>
      <c r="G51" s="15">
        <v>46198</v>
      </c>
      <c r="H51" s="26" t="s">
        <v>186</v>
      </c>
      <c r="I51" s="5" t="s">
        <v>64</v>
      </c>
    </row>
    <row r="52" spans="2:9">
      <c r="B52" s="7" t="s">
        <v>54</v>
      </c>
      <c r="C52" s="25" t="s">
        <v>49</v>
      </c>
      <c r="D52" s="25" t="s">
        <v>48</v>
      </c>
      <c r="E52" s="13">
        <v>55595.15</v>
      </c>
      <c r="F52" s="14">
        <v>46170</v>
      </c>
      <c r="G52" s="15">
        <v>46198</v>
      </c>
      <c r="H52" s="26" t="s">
        <v>187</v>
      </c>
      <c r="I52" s="5" t="s">
        <v>64</v>
      </c>
    </row>
    <row r="53" spans="2:9">
      <c r="B53" s="7" t="s">
        <v>54</v>
      </c>
      <c r="C53" s="25" t="s">
        <v>49</v>
      </c>
      <c r="D53" s="25" t="s">
        <v>55</v>
      </c>
      <c r="E53" s="13">
        <v>8955.18</v>
      </c>
      <c r="F53" s="14">
        <v>46170</v>
      </c>
      <c r="G53" s="15">
        <v>46198</v>
      </c>
      <c r="H53" s="26" t="s">
        <v>188</v>
      </c>
      <c r="I53" s="5" t="s">
        <v>64</v>
      </c>
    </row>
    <row r="54" spans="2:9">
      <c r="B54" s="7" t="s">
        <v>54</v>
      </c>
      <c r="C54" s="25" t="s">
        <v>49</v>
      </c>
      <c r="D54" s="25" t="s">
        <v>48</v>
      </c>
      <c r="E54" s="13">
        <v>3051.63</v>
      </c>
      <c r="F54" s="14">
        <v>46170</v>
      </c>
      <c r="G54" s="15">
        <v>46198</v>
      </c>
      <c r="H54" s="26" t="s">
        <v>189</v>
      </c>
      <c r="I54" s="5" t="s">
        <v>64</v>
      </c>
    </row>
    <row r="55" spans="2:9">
      <c r="B55" s="7" t="s">
        <v>54</v>
      </c>
      <c r="C55" s="25" t="s">
        <v>49</v>
      </c>
      <c r="D55" s="25" t="s">
        <v>48</v>
      </c>
      <c r="E55" s="13">
        <v>24728.85</v>
      </c>
      <c r="F55" s="14">
        <v>46170</v>
      </c>
      <c r="G55" s="15">
        <v>46198</v>
      </c>
      <c r="H55" s="26" t="s">
        <v>190</v>
      </c>
      <c r="I55" s="5" t="s">
        <v>64</v>
      </c>
    </row>
    <row r="56" spans="2:9">
      <c r="B56" s="7" t="s">
        <v>54</v>
      </c>
      <c r="C56" s="25" t="s">
        <v>49</v>
      </c>
      <c r="D56" s="25" t="s">
        <v>48</v>
      </c>
      <c r="E56" s="13">
        <v>29889.47</v>
      </c>
      <c r="F56" s="14">
        <v>46170</v>
      </c>
      <c r="G56" s="15">
        <v>46198</v>
      </c>
      <c r="H56" s="26" t="s">
        <v>191</v>
      </c>
      <c r="I56" s="5" t="s">
        <v>64</v>
      </c>
    </row>
    <row r="57" spans="2:9">
      <c r="B57" s="7" t="s">
        <v>54</v>
      </c>
      <c r="C57" s="25" t="s">
        <v>49</v>
      </c>
      <c r="D57" s="25" t="s">
        <v>48</v>
      </c>
      <c r="E57" s="13">
        <v>11869.85</v>
      </c>
      <c r="F57" s="14">
        <v>46170</v>
      </c>
      <c r="G57" s="15">
        <v>46198</v>
      </c>
      <c r="H57" s="26" t="s">
        <v>192</v>
      </c>
      <c r="I57" s="5" t="s">
        <v>64</v>
      </c>
    </row>
    <row r="58" spans="2:9">
      <c r="B58" s="7" t="s">
        <v>54</v>
      </c>
      <c r="C58" s="25" t="s">
        <v>49</v>
      </c>
      <c r="D58" s="25" t="s">
        <v>48</v>
      </c>
      <c r="E58" s="13">
        <v>8387.85</v>
      </c>
      <c r="F58" s="14">
        <v>46170</v>
      </c>
      <c r="G58" s="15">
        <v>46198</v>
      </c>
      <c r="H58" s="26" t="s">
        <v>193</v>
      </c>
      <c r="I58" s="5" t="s">
        <v>64</v>
      </c>
    </row>
    <row r="59" spans="2:9">
      <c r="B59" s="7" t="s">
        <v>54</v>
      </c>
      <c r="C59" s="25" t="s">
        <v>58</v>
      </c>
      <c r="D59" s="25" t="s">
        <v>57</v>
      </c>
      <c r="E59" s="13">
        <v>127617.44</v>
      </c>
      <c r="F59" s="14">
        <v>46170</v>
      </c>
      <c r="G59" s="15">
        <v>46197</v>
      </c>
      <c r="H59" s="26" t="s">
        <v>194</v>
      </c>
      <c r="I59" s="5" t="s">
        <v>64</v>
      </c>
    </row>
    <row r="60" spans="2:9">
      <c r="B60" s="7" t="s">
        <v>54</v>
      </c>
      <c r="C60" s="25" t="s">
        <v>58</v>
      </c>
      <c r="D60" s="25" t="s">
        <v>57</v>
      </c>
      <c r="E60" s="13">
        <v>125277.14</v>
      </c>
      <c r="F60" s="14">
        <v>46170</v>
      </c>
      <c r="G60" s="15">
        <v>46198</v>
      </c>
      <c r="H60" s="26" t="s">
        <v>195</v>
      </c>
      <c r="I60" s="5" t="s">
        <v>64</v>
      </c>
    </row>
    <row r="61" spans="2:9">
      <c r="B61" s="7" t="s">
        <v>54</v>
      </c>
      <c r="C61" s="25" t="s">
        <v>58</v>
      </c>
      <c r="D61" s="25" t="s">
        <v>57</v>
      </c>
      <c r="E61" s="13">
        <v>141485.16</v>
      </c>
      <c r="F61" s="14">
        <v>46170</v>
      </c>
      <c r="G61" s="15">
        <v>46199</v>
      </c>
      <c r="H61" s="26" t="s">
        <v>196</v>
      </c>
      <c r="I61" s="5" t="s">
        <v>64</v>
      </c>
    </row>
    <row r="62" spans="2:9">
      <c r="B62" s="7" t="s">
        <v>54</v>
      </c>
      <c r="C62" s="25" t="s">
        <v>49</v>
      </c>
      <c r="D62" s="25" t="s">
        <v>48</v>
      </c>
      <c r="E62" s="13">
        <v>21578.6</v>
      </c>
      <c r="F62" s="14">
        <v>46175</v>
      </c>
      <c r="G62" s="15">
        <v>46213</v>
      </c>
      <c r="H62" s="2" t="s">
        <v>72</v>
      </c>
      <c r="I62" s="5" t="s">
        <v>64</v>
      </c>
    </row>
    <row r="63" spans="2:9">
      <c r="B63" s="7" t="s">
        <v>54</v>
      </c>
      <c r="C63" s="25" t="s">
        <v>49</v>
      </c>
      <c r="D63" s="25" t="s">
        <v>48</v>
      </c>
      <c r="E63" s="13">
        <v>99701.57</v>
      </c>
      <c r="F63" s="14">
        <v>46175</v>
      </c>
      <c r="G63" s="15">
        <v>46213</v>
      </c>
      <c r="H63" s="2" t="s">
        <v>73</v>
      </c>
      <c r="I63" s="5" t="s">
        <v>64</v>
      </c>
    </row>
    <row r="64" spans="2:9">
      <c r="B64" s="7" t="s">
        <v>54</v>
      </c>
      <c r="C64" s="25" t="s">
        <v>49</v>
      </c>
      <c r="D64" s="25" t="s">
        <v>48</v>
      </c>
      <c r="E64" s="13">
        <v>2912.71</v>
      </c>
      <c r="F64" s="14">
        <v>46175</v>
      </c>
      <c r="G64" s="15">
        <v>46213</v>
      </c>
      <c r="H64" s="2" t="s">
        <v>74</v>
      </c>
      <c r="I64" s="5" t="s">
        <v>64</v>
      </c>
    </row>
    <row r="65" spans="2:9">
      <c r="B65" s="7" t="s">
        <v>54</v>
      </c>
      <c r="C65" s="25" t="s">
        <v>49</v>
      </c>
      <c r="D65" s="25" t="s">
        <v>55</v>
      </c>
      <c r="E65" s="13">
        <v>7076.98</v>
      </c>
      <c r="F65" s="14">
        <v>46175</v>
      </c>
      <c r="G65" s="15">
        <v>46213</v>
      </c>
      <c r="H65" s="2" t="s">
        <v>75</v>
      </c>
      <c r="I65" s="5" t="s">
        <v>64</v>
      </c>
    </row>
    <row r="66" spans="2:9">
      <c r="B66" s="7" t="s">
        <v>54</v>
      </c>
      <c r="C66" s="25" t="s">
        <v>49</v>
      </c>
      <c r="D66" s="25" t="s">
        <v>48</v>
      </c>
      <c r="E66" s="13">
        <v>51460.34</v>
      </c>
      <c r="F66" s="14">
        <v>46175</v>
      </c>
      <c r="G66" s="15">
        <v>46213</v>
      </c>
      <c r="H66" s="2" t="s">
        <v>76</v>
      </c>
      <c r="I66" s="5" t="s">
        <v>64</v>
      </c>
    </row>
    <row r="67" spans="2:9">
      <c r="B67" s="7" t="s">
        <v>54</v>
      </c>
      <c r="C67" s="25" t="s">
        <v>49</v>
      </c>
      <c r="D67" s="25" t="s">
        <v>48</v>
      </c>
      <c r="E67" s="13">
        <v>53055.86</v>
      </c>
      <c r="F67" s="14">
        <v>46175</v>
      </c>
      <c r="G67" s="15">
        <v>46213</v>
      </c>
      <c r="H67" s="2" t="s">
        <v>77</v>
      </c>
      <c r="I67" s="5" t="s">
        <v>64</v>
      </c>
    </row>
    <row r="68" spans="2:9">
      <c r="B68" s="7" t="s">
        <v>54</v>
      </c>
      <c r="C68" s="25" t="s">
        <v>49</v>
      </c>
      <c r="D68" s="25" t="s">
        <v>48</v>
      </c>
      <c r="E68" s="13">
        <v>50692.92</v>
      </c>
      <c r="F68" s="14">
        <v>46175</v>
      </c>
      <c r="G68" s="15">
        <v>46213</v>
      </c>
      <c r="H68" s="2" t="s">
        <v>78</v>
      </c>
      <c r="I68" s="5" t="s">
        <v>64</v>
      </c>
    </row>
    <row r="69" spans="2:9">
      <c r="B69" s="7" t="s">
        <v>54</v>
      </c>
      <c r="C69" s="25" t="s">
        <v>49</v>
      </c>
      <c r="D69" s="25" t="s">
        <v>55</v>
      </c>
      <c r="E69" s="13">
        <v>37975.99</v>
      </c>
      <c r="F69" s="14">
        <v>46175</v>
      </c>
      <c r="G69" s="15">
        <v>46213</v>
      </c>
      <c r="H69" s="2" t="s">
        <v>79</v>
      </c>
      <c r="I69" s="5" t="s">
        <v>64</v>
      </c>
    </row>
    <row r="70" spans="2:9">
      <c r="B70" s="7" t="s">
        <v>54</v>
      </c>
      <c r="C70" s="25" t="s">
        <v>49</v>
      </c>
      <c r="D70" s="25" t="s">
        <v>48</v>
      </c>
      <c r="E70" s="13">
        <v>44176.66</v>
      </c>
      <c r="F70" s="14">
        <v>46175</v>
      </c>
      <c r="G70" s="15">
        <v>46213</v>
      </c>
      <c r="H70" s="2" t="s">
        <v>80</v>
      </c>
      <c r="I70" s="5" t="s">
        <v>64</v>
      </c>
    </row>
    <row r="71" spans="2:9">
      <c r="B71" s="7" t="s">
        <v>54</v>
      </c>
      <c r="C71" s="25" t="s">
        <v>49</v>
      </c>
      <c r="D71" s="25" t="s">
        <v>48</v>
      </c>
      <c r="E71" s="13">
        <v>29063.919999999998</v>
      </c>
      <c r="F71" s="14">
        <v>46175</v>
      </c>
      <c r="G71" s="15">
        <v>46213</v>
      </c>
      <c r="H71" s="2" t="s">
        <v>81</v>
      </c>
      <c r="I71" s="5" t="s">
        <v>64</v>
      </c>
    </row>
    <row r="72" spans="2:9">
      <c r="B72" s="7" t="s">
        <v>54</v>
      </c>
      <c r="C72" s="25" t="s">
        <v>49</v>
      </c>
      <c r="D72" s="25" t="s">
        <v>55</v>
      </c>
      <c r="E72" s="13">
        <v>24453.63</v>
      </c>
      <c r="F72" s="14">
        <v>46175</v>
      </c>
      <c r="G72" s="15">
        <v>46213</v>
      </c>
      <c r="H72" s="2" t="s">
        <v>82</v>
      </c>
      <c r="I72" s="5" t="s">
        <v>64</v>
      </c>
    </row>
    <row r="73" spans="2:9">
      <c r="B73" s="7" t="s">
        <v>54</v>
      </c>
      <c r="C73" s="25" t="s">
        <v>49</v>
      </c>
      <c r="D73" s="25" t="s">
        <v>48</v>
      </c>
      <c r="E73" s="13">
        <v>59974.53</v>
      </c>
      <c r="F73" s="14">
        <v>46175</v>
      </c>
      <c r="G73" s="15">
        <v>46213</v>
      </c>
      <c r="H73" s="2" t="s">
        <v>83</v>
      </c>
      <c r="I73" s="5" t="s">
        <v>64</v>
      </c>
    </row>
    <row r="74" spans="2:9">
      <c r="B74" s="7" t="s">
        <v>54</v>
      </c>
      <c r="C74" s="25" t="s">
        <v>49</v>
      </c>
      <c r="D74" s="25" t="s">
        <v>48</v>
      </c>
      <c r="E74" s="13">
        <v>41751.919999999998</v>
      </c>
      <c r="F74" s="14">
        <v>46175</v>
      </c>
      <c r="G74" s="15">
        <v>46213</v>
      </c>
      <c r="H74" s="2" t="s">
        <v>84</v>
      </c>
      <c r="I74" s="5" t="s">
        <v>64</v>
      </c>
    </row>
    <row r="75" spans="2:9">
      <c r="B75" s="7" t="s">
        <v>54</v>
      </c>
      <c r="C75" s="25" t="s">
        <v>49</v>
      </c>
      <c r="D75" s="25" t="s">
        <v>48</v>
      </c>
      <c r="E75" s="13">
        <v>29063.919999999998</v>
      </c>
      <c r="F75" s="14">
        <v>46175</v>
      </c>
      <c r="G75" s="15">
        <v>46213</v>
      </c>
      <c r="H75" s="2" t="s">
        <v>85</v>
      </c>
      <c r="I75" s="5" t="s">
        <v>64</v>
      </c>
    </row>
    <row r="76" spans="2:9">
      <c r="B76" s="7" t="s">
        <v>54</v>
      </c>
      <c r="C76" s="25" t="s">
        <v>49</v>
      </c>
      <c r="D76" s="25" t="s">
        <v>48</v>
      </c>
      <c r="E76" s="13">
        <v>19991.41</v>
      </c>
      <c r="F76" s="14">
        <v>46175</v>
      </c>
      <c r="G76" s="15">
        <v>46213</v>
      </c>
      <c r="H76" s="2" t="s">
        <v>86</v>
      </c>
      <c r="I76" s="5" t="s">
        <v>64</v>
      </c>
    </row>
    <row r="77" spans="2:9">
      <c r="B77" s="7" t="s">
        <v>54</v>
      </c>
      <c r="C77" s="25" t="s">
        <v>49</v>
      </c>
      <c r="D77" s="25" t="s">
        <v>48</v>
      </c>
      <c r="E77" s="13">
        <v>14591.13</v>
      </c>
      <c r="F77" s="14">
        <v>46175</v>
      </c>
      <c r="G77" s="15">
        <v>46213</v>
      </c>
      <c r="H77" s="2" t="s">
        <v>87</v>
      </c>
      <c r="I77" s="5" t="s">
        <v>64</v>
      </c>
    </row>
    <row r="78" spans="2:9">
      <c r="B78" s="7" t="s">
        <v>54</v>
      </c>
      <c r="C78" s="25" t="s">
        <v>49</v>
      </c>
      <c r="D78" s="25" t="s">
        <v>48</v>
      </c>
      <c r="E78" s="13">
        <v>32077.67</v>
      </c>
      <c r="F78" s="14">
        <v>46175</v>
      </c>
      <c r="G78" s="15">
        <v>46213</v>
      </c>
      <c r="H78" s="2" t="s">
        <v>88</v>
      </c>
      <c r="I78" s="5" t="s">
        <v>64</v>
      </c>
    </row>
    <row r="79" spans="2:9">
      <c r="B79" s="7" t="s">
        <v>54</v>
      </c>
      <c r="C79" s="25" t="s">
        <v>49</v>
      </c>
      <c r="D79" s="25" t="s">
        <v>48</v>
      </c>
      <c r="E79" s="13">
        <v>31040.91</v>
      </c>
      <c r="F79" s="14">
        <v>46175</v>
      </c>
      <c r="G79" s="15">
        <v>46213</v>
      </c>
      <c r="H79" s="2" t="s">
        <v>89</v>
      </c>
      <c r="I79" s="5" t="s">
        <v>64</v>
      </c>
    </row>
    <row r="80" spans="2:9">
      <c r="B80" s="7" t="s">
        <v>54</v>
      </c>
      <c r="C80" s="25" t="s">
        <v>49</v>
      </c>
      <c r="D80" s="25" t="s">
        <v>48</v>
      </c>
      <c r="E80" s="13">
        <v>81432.97</v>
      </c>
      <c r="F80" s="14">
        <v>46175</v>
      </c>
      <c r="G80" s="15">
        <v>46213</v>
      </c>
      <c r="H80" s="2" t="s">
        <v>90</v>
      </c>
      <c r="I80" s="5" t="s">
        <v>64</v>
      </c>
    </row>
    <row r="81" spans="2:9">
      <c r="B81" s="7" t="s">
        <v>54</v>
      </c>
      <c r="C81" s="25" t="s">
        <v>49</v>
      </c>
      <c r="D81" s="25" t="s">
        <v>48</v>
      </c>
      <c r="E81" s="13">
        <v>33586.25</v>
      </c>
      <c r="F81" s="14">
        <v>46175</v>
      </c>
      <c r="G81" s="15">
        <v>46213</v>
      </c>
      <c r="H81" s="2" t="s">
        <v>91</v>
      </c>
      <c r="I81" s="5" t="s">
        <v>64</v>
      </c>
    </row>
    <row r="82" spans="2:9">
      <c r="B82" s="7" t="s">
        <v>54</v>
      </c>
      <c r="C82" s="25" t="s">
        <v>49</v>
      </c>
      <c r="D82" s="25" t="s">
        <v>48</v>
      </c>
      <c r="E82" s="13">
        <v>29607.41</v>
      </c>
      <c r="F82" s="14">
        <v>46175</v>
      </c>
      <c r="G82" s="15">
        <v>46213</v>
      </c>
      <c r="H82" s="2" t="s">
        <v>92</v>
      </c>
      <c r="I82" s="5" t="s">
        <v>64</v>
      </c>
    </row>
    <row r="83" spans="2:9">
      <c r="B83" s="7" t="s">
        <v>54</v>
      </c>
      <c r="C83" s="25" t="s">
        <v>49</v>
      </c>
      <c r="D83" s="25" t="s">
        <v>48</v>
      </c>
      <c r="E83" s="13">
        <v>46766.82</v>
      </c>
      <c r="F83" s="14">
        <v>46175</v>
      </c>
      <c r="G83" s="15">
        <v>46213</v>
      </c>
      <c r="H83" s="2" t="s">
        <v>93</v>
      </c>
      <c r="I83" s="5" t="s">
        <v>64</v>
      </c>
    </row>
    <row r="84" spans="2:9">
      <c r="B84" s="7" t="s">
        <v>54</v>
      </c>
      <c r="C84" s="25" t="s">
        <v>49</v>
      </c>
      <c r="D84" s="25" t="s">
        <v>48</v>
      </c>
      <c r="E84" s="13">
        <v>6186.72</v>
      </c>
      <c r="F84" s="14">
        <v>46175</v>
      </c>
      <c r="G84" s="15">
        <v>46213</v>
      </c>
      <c r="H84" s="2" t="s">
        <v>94</v>
      </c>
      <c r="I84" s="5" t="s">
        <v>64</v>
      </c>
    </row>
    <row r="85" spans="2:9">
      <c r="B85" s="7" t="s">
        <v>54</v>
      </c>
      <c r="C85" s="25" t="s">
        <v>49</v>
      </c>
      <c r="D85" s="25" t="s">
        <v>48</v>
      </c>
      <c r="E85" s="13">
        <v>74613.710000000006</v>
      </c>
      <c r="F85" s="14">
        <v>46175</v>
      </c>
      <c r="G85" s="15">
        <v>46213</v>
      </c>
      <c r="H85" s="2" t="s">
        <v>95</v>
      </c>
      <c r="I85" s="5" t="s">
        <v>64</v>
      </c>
    </row>
    <row r="86" spans="2:9">
      <c r="B86" s="7" t="s">
        <v>54</v>
      </c>
      <c r="C86" s="25" t="s">
        <v>49</v>
      </c>
      <c r="D86" s="25" t="s">
        <v>48</v>
      </c>
      <c r="E86" s="13">
        <v>56244.79</v>
      </c>
      <c r="F86" s="14">
        <v>46175</v>
      </c>
      <c r="G86" s="15">
        <v>46213</v>
      </c>
      <c r="H86" s="2" t="s">
        <v>96</v>
      </c>
      <c r="I86" s="5" t="s">
        <v>64</v>
      </c>
    </row>
    <row r="87" spans="2:9">
      <c r="B87" s="7" t="s">
        <v>54</v>
      </c>
      <c r="C87" s="25" t="s">
        <v>49</v>
      </c>
      <c r="D87" s="25" t="s">
        <v>48</v>
      </c>
      <c r="E87" s="13">
        <v>40474.839999999997</v>
      </c>
      <c r="F87" s="14">
        <v>46175</v>
      </c>
      <c r="G87" s="15">
        <v>46213</v>
      </c>
      <c r="H87" s="2" t="s">
        <v>97</v>
      </c>
      <c r="I87" s="5" t="s">
        <v>64</v>
      </c>
    </row>
    <row r="88" spans="2:9">
      <c r="B88" s="7" t="s">
        <v>54</v>
      </c>
      <c r="C88" s="25" t="s">
        <v>49</v>
      </c>
      <c r="D88" s="25" t="s">
        <v>55</v>
      </c>
      <c r="E88" s="13">
        <v>5149.83</v>
      </c>
      <c r="F88" s="14">
        <v>46175</v>
      </c>
      <c r="G88" s="15">
        <v>46213</v>
      </c>
      <c r="H88" s="2" t="s">
        <v>98</v>
      </c>
      <c r="I88" s="5" t="s">
        <v>64</v>
      </c>
    </row>
    <row r="89" spans="2:9">
      <c r="B89" s="7" t="s">
        <v>54</v>
      </c>
      <c r="C89" s="25" t="s">
        <v>49</v>
      </c>
      <c r="D89" s="25" t="s">
        <v>48</v>
      </c>
      <c r="E89" s="13">
        <v>9596.77</v>
      </c>
      <c r="F89" s="14">
        <v>46175</v>
      </c>
      <c r="G89" s="15">
        <v>46213</v>
      </c>
      <c r="H89" s="2" t="s">
        <v>99</v>
      </c>
      <c r="I89" s="5" t="s">
        <v>64</v>
      </c>
    </row>
    <row r="90" spans="2:9">
      <c r="B90" s="7" t="s">
        <v>54</v>
      </c>
      <c r="C90" s="25" t="s">
        <v>49</v>
      </c>
      <c r="D90" s="25" t="s">
        <v>48</v>
      </c>
      <c r="E90" s="13">
        <v>9474.3700000000008</v>
      </c>
      <c r="F90" s="14">
        <v>46175</v>
      </c>
      <c r="G90" s="15">
        <v>46213</v>
      </c>
      <c r="H90" s="2" t="s">
        <v>100</v>
      </c>
      <c r="I90" s="5" t="s">
        <v>64</v>
      </c>
    </row>
    <row r="91" spans="2:9">
      <c r="B91" s="7" t="s">
        <v>54</v>
      </c>
      <c r="C91" s="25" t="s">
        <v>49</v>
      </c>
      <c r="D91" s="25" t="s">
        <v>48</v>
      </c>
      <c r="E91" s="13">
        <v>86425.69</v>
      </c>
      <c r="F91" s="14">
        <v>46175</v>
      </c>
      <c r="G91" s="15">
        <v>46213</v>
      </c>
      <c r="H91" s="2" t="s">
        <v>101</v>
      </c>
      <c r="I91" s="5" t="s">
        <v>64</v>
      </c>
    </row>
    <row r="92" spans="2:9">
      <c r="B92" s="7" t="s">
        <v>54</v>
      </c>
      <c r="C92" s="25" t="s">
        <v>49</v>
      </c>
      <c r="D92" s="25" t="s">
        <v>55</v>
      </c>
      <c r="E92" s="13">
        <v>19303.79</v>
      </c>
      <c r="F92" s="14">
        <v>46175</v>
      </c>
      <c r="G92" s="15">
        <v>46213</v>
      </c>
      <c r="H92" s="2" t="s">
        <v>102</v>
      </c>
      <c r="I92" s="5" t="s">
        <v>64</v>
      </c>
    </row>
    <row r="93" spans="2:9">
      <c r="B93" s="7" t="s">
        <v>54</v>
      </c>
      <c r="C93" s="25" t="s">
        <v>49</v>
      </c>
      <c r="D93" s="25" t="s">
        <v>48</v>
      </c>
      <c r="E93" s="13">
        <v>87499.38</v>
      </c>
      <c r="F93" s="14">
        <v>46175</v>
      </c>
      <c r="G93" s="15">
        <v>46213</v>
      </c>
      <c r="H93" s="2" t="s">
        <v>103</v>
      </c>
      <c r="I93" s="5" t="s">
        <v>64</v>
      </c>
    </row>
    <row r="94" spans="2:9">
      <c r="B94" s="7" t="s">
        <v>54</v>
      </c>
      <c r="C94" s="25" t="s">
        <v>49</v>
      </c>
      <c r="D94" s="25" t="s">
        <v>48</v>
      </c>
      <c r="E94" s="13">
        <v>26211.83</v>
      </c>
      <c r="F94" s="14">
        <v>46175</v>
      </c>
      <c r="G94" s="15">
        <v>46213</v>
      </c>
      <c r="H94" s="2" t="s">
        <v>104</v>
      </c>
      <c r="I94" s="5" t="s">
        <v>64</v>
      </c>
    </row>
    <row r="95" spans="2:9">
      <c r="B95" s="7" t="s">
        <v>54</v>
      </c>
      <c r="C95" s="25" t="s">
        <v>49</v>
      </c>
      <c r="D95" s="25" t="s">
        <v>48</v>
      </c>
      <c r="E95" s="13">
        <v>45268.05</v>
      </c>
      <c r="F95" s="14">
        <v>46175</v>
      </c>
      <c r="G95" s="15">
        <v>46213</v>
      </c>
      <c r="H95" s="2" t="s">
        <v>105</v>
      </c>
      <c r="I95" s="5" t="s">
        <v>64</v>
      </c>
    </row>
    <row r="96" spans="2:9">
      <c r="B96" s="7" t="s">
        <v>54</v>
      </c>
      <c r="C96" s="25" t="s">
        <v>49</v>
      </c>
      <c r="D96" s="25" t="s">
        <v>55</v>
      </c>
      <c r="E96" s="13">
        <v>20599.330000000002</v>
      </c>
      <c r="F96" s="14">
        <v>46175</v>
      </c>
      <c r="G96" s="15">
        <v>46213</v>
      </c>
      <c r="H96" s="2" t="s">
        <v>106</v>
      </c>
      <c r="I96" s="5" t="s">
        <v>64</v>
      </c>
    </row>
    <row r="97" spans="2:9">
      <c r="B97" s="7" t="s">
        <v>54</v>
      </c>
      <c r="C97" s="25" t="s">
        <v>49</v>
      </c>
      <c r="D97" s="25" t="s">
        <v>48</v>
      </c>
      <c r="E97" s="13">
        <v>39696.69</v>
      </c>
      <c r="F97" s="14">
        <v>46175</v>
      </c>
      <c r="G97" s="15">
        <v>46213</v>
      </c>
      <c r="H97" s="2" t="s">
        <v>107</v>
      </c>
      <c r="I97" s="5" t="s">
        <v>64</v>
      </c>
    </row>
    <row r="98" spans="2:9">
      <c r="B98" s="7" t="s">
        <v>54</v>
      </c>
      <c r="C98" s="25" t="s">
        <v>141</v>
      </c>
      <c r="D98" s="25" t="s">
        <v>111</v>
      </c>
      <c r="E98" s="13" t="s">
        <v>126</v>
      </c>
      <c r="F98" s="14">
        <v>46181</v>
      </c>
      <c r="G98" s="15">
        <v>46204</v>
      </c>
      <c r="H98" s="26" t="s">
        <v>110</v>
      </c>
      <c r="I98" s="5" t="s">
        <v>65</v>
      </c>
    </row>
    <row r="99" spans="2:9">
      <c r="B99" s="7" t="s">
        <v>54</v>
      </c>
      <c r="C99" s="25" t="s">
        <v>141</v>
      </c>
      <c r="D99" s="25" t="s">
        <v>111</v>
      </c>
      <c r="E99" s="13" t="s">
        <v>127</v>
      </c>
      <c r="F99" s="14">
        <v>46181</v>
      </c>
      <c r="G99" s="15">
        <v>46204</v>
      </c>
      <c r="H99" s="26" t="s">
        <v>112</v>
      </c>
      <c r="I99" s="5" t="s">
        <v>65</v>
      </c>
    </row>
    <row r="100" spans="2:9">
      <c r="B100" s="7" t="s">
        <v>54</v>
      </c>
      <c r="C100" s="25" t="s">
        <v>141</v>
      </c>
      <c r="D100" s="25" t="s">
        <v>111</v>
      </c>
      <c r="E100" s="13" t="s">
        <v>128</v>
      </c>
      <c r="F100" s="14">
        <v>46181</v>
      </c>
      <c r="G100" s="15">
        <v>46204</v>
      </c>
      <c r="H100" s="26" t="s">
        <v>113</v>
      </c>
      <c r="I100" s="5" t="s">
        <v>65</v>
      </c>
    </row>
    <row r="101" spans="2:9">
      <c r="B101" s="7" t="s">
        <v>54</v>
      </c>
      <c r="C101" s="25" t="s">
        <v>141</v>
      </c>
      <c r="D101" s="25" t="s">
        <v>111</v>
      </c>
      <c r="E101" s="13" t="s">
        <v>129</v>
      </c>
      <c r="F101" s="14">
        <v>46181</v>
      </c>
      <c r="G101" s="15">
        <v>46204</v>
      </c>
      <c r="H101" s="26" t="s">
        <v>114</v>
      </c>
      <c r="I101" s="5" t="s">
        <v>65</v>
      </c>
    </row>
    <row r="102" spans="2:9">
      <c r="B102" s="7" t="s">
        <v>54</v>
      </c>
      <c r="C102" s="25" t="s">
        <v>141</v>
      </c>
      <c r="D102" s="25" t="s">
        <v>111</v>
      </c>
      <c r="E102" s="13" t="s">
        <v>130</v>
      </c>
      <c r="F102" s="14">
        <v>46181</v>
      </c>
      <c r="G102" s="15">
        <v>46204</v>
      </c>
      <c r="H102" s="26" t="s">
        <v>115</v>
      </c>
      <c r="I102" s="5" t="s">
        <v>65</v>
      </c>
    </row>
    <row r="103" spans="2:9">
      <c r="B103" s="7" t="s">
        <v>54</v>
      </c>
      <c r="C103" s="25" t="s">
        <v>141</v>
      </c>
      <c r="D103" s="25" t="s">
        <v>111</v>
      </c>
      <c r="E103" s="13" t="s">
        <v>131</v>
      </c>
      <c r="F103" s="14">
        <v>46181</v>
      </c>
      <c r="G103" s="15">
        <v>46204</v>
      </c>
      <c r="H103" s="26" t="s">
        <v>116</v>
      </c>
      <c r="I103" s="5" t="s">
        <v>65</v>
      </c>
    </row>
    <row r="104" spans="2:9">
      <c r="B104" s="7" t="s">
        <v>54</v>
      </c>
      <c r="C104" s="25" t="s">
        <v>141</v>
      </c>
      <c r="D104" s="25" t="s">
        <v>111</v>
      </c>
      <c r="E104" s="13" t="s">
        <v>132</v>
      </c>
      <c r="F104" s="14">
        <v>46181</v>
      </c>
      <c r="G104" s="15">
        <v>46204</v>
      </c>
      <c r="H104" s="26" t="s">
        <v>117</v>
      </c>
      <c r="I104" s="5" t="s">
        <v>65</v>
      </c>
    </row>
    <row r="105" spans="2:9">
      <c r="B105" s="7" t="s">
        <v>54</v>
      </c>
      <c r="C105" s="25" t="s">
        <v>141</v>
      </c>
      <c r="D105" s="25" t="s">
        <v>111</v>
      </c>
      <c r="E105" s="13" t="s">
        <v>133</v>
      </c>
      <c r="F105" s="14">
        <v>46181</v>
      </c>
      <c r="G105" s="15">
        <v>46204</v>
      </c>
      <c r="H105" s="26" t="s">
        <v>118</v>
      </c>
      <c r="I105" s="5" t="s">
        <v>65</v>
      </c>
    </row>
    <row r="106" spans="2:9">
      <c r="B106" s="7" t="s">
        <v>54</v>
      </c>
      <c r="C106" s="25" t="s">
        <v>141</v>
      </c>
      <c r="D106" s="25" t="s">
        <v>111</v>
      </c>
      <c r="E106" s="13" t="s">
        <v>134</v>
      </c>
      <c r="F106" s="14">
        <v>46181</v>
      </c>
      <c r="G106" s="15">
        <v>46204</v>
      </c>
      <c r="H106" s="26" t="s">
        <v>119</v>
      </c>
      <c r="I106" s="5" t="s">
        <v>65</v>
      </c>
    </row>
    <row r="107" spans="2:9">
      <c r="B107" s="7" t="s">
        <v>54</v>
      </c>
      <c r="C107" s="25" t="s">
        <v>141</v>
      </c>
      <c r="D107" s="25" t="s">
        <v>111</v>
      </c>
      <c r="E107" s="13" t="s">
        <v>135</v>
      </c>
      <c r="F107" s="14">
        <v>46181</v>
      </c>
      <c r="G107" s="15">
        <v>46204</v>
      </c>
      <c r="H107" s="26" t="s">
        <v>120</v>
      </c>
      <c r="I107" s="5" t="s">
        <v>65</v>
      </c>
    </row>
    <row r="108" spans="2:9">
      <c r="B108" s="7" t="s">
        <v>54</v>
      </c>
      <c r="C108" s="25" t="s">
        <v>141</v>
      </c>
      <c r="D108" s="25" t="s">
        <v>111</v>
      </c>
      <c r="E108" s="13" t="s">
        <v>136</v>
      </c>
      <c r="F108" s="14">
        <v>46181</v>
      </c>
      <c r="G108" s="15">
        <v>46204</v>
      </c>
      <c r="H108" s="26" t="s">
        <v>121</v>
      </c>
      <c r="I108" s="5" t="s">
        <v>65</v>
      </c>
    </row>
    <row r="109" spans="2:9">
      <c r="B109" s="7" t="s">
        <v>54</v>
      </c>
      <c r="C109" s="25" t="s">
        <v>141</v>
      </c>
      <c r="D109" s="25" t="s">
        <v>111</v>
      </c>
      <c r="E109" s="13" t="s">
        <v>137</v>
      </c>
      <c r="F109" s="14">
        <v>46181</v>
      </c>
      <c r="G109" s="15">
        <v>46204</v>
      </c>
      <c r="H109" s="26" t="s">
        <v>122</v>
      </c>
      <c r="I109" s="5" t="s">
        <v>65</v>
      </c>
    </row>
    <row r="110" spans="2:9">
      <c r="B110" s="7" t="s">
        <v>54</v>
      </c>
      <c r="C110" s="25" t="s">
        <v>141</v>
      </c>
      <c r="D110" s="25" t="s">
        <v>111</v>
      </c>
      <c r="E110" s="13" t="s">
        <v>138</v>
      </c>
      <c r="F110" s="14">
        <v>46181</v>
      </c>
      <c r="G110" s="15">
        <v>46204</v>
      </c>
      <c r="H110" s="26" t="s">
        <v>123</v>
      </c>
      <c r="I110" s="5" t="s">
        <v>65</v>
      </c>
    </row>
    <row r="111" spans="2:9">
      <c r="B111" s="7" t="s">
        <v>54</v>
      </c>
      <c r="C111" s="25" t="s">
        <v>141</v>
      </c>
      <c r="D111" s="25" t="s">
        <v>111</v>
      </c>
      <c r="E111" s="13" t="s">
        <v>139</v>
      </c>
      <c r="F111" s="14">
        <v>46181</v>
      </c>
      <c r="G111" s="15">
        <v>46204</v>
      </c>
      <c r="H111" s="26" t="s">
        <v>124</v>
      </c>
      <c r="I111" s="5" t="s">
        <v>65</v>
      </c>
    </row>
    <row r="112" spans="2:9">
      <c r="B112" s="7" t="s">
        <v>54</v>
      </c>
      <c r="C112" s="25" t="s">
        <v>141</v>
      </c>
      <c r="D112" s="25" t="s">
        <v>111</v>
      </c>
      <c r="E112" s="13" t="s">
        <v>140</v>
      </c>
      <c r="F112" s="14">
        <v>46181</v>
      </c>
      <c r="G112" s="15">
        <v>46204</v>
      </c>
      <c r="H112" s="26" t="s">
        <v>125</v>
      </c>
      <c r="I112" s="5" t="s">
        <v>65</v>
      </c>
    </row>
    <row r="113" spans="2:9">
      <c r="B113" s="7" t="s">
        <v>54</v>
      </c>
      <c r="C113" s="25" t="s">
        <v>49</v>
      </c>
      <c r="D113" s="25" t="s">
        <v>48</v>
      </c>
      <c r="E113" s="7" t="s">
        <v>246</v>
      </c>
      <c r="F113" s="14" t="s">
        <v>197</v>
      </c>
      <c r="G113" s="15">
        <v>46228</v>
      </c>
      <c r="H113" s="26" t="s">
        <v>198</v>
      </c>
      <c r="I113" s="5" t="s">
        <v>65</v>
      </c>
    </row>
    <row r="114" spans="2:9">
      <c r="B114" s="7" t="s">
        <v>54</v>
      </c>
      <c r="C114" s="25" t="s">
        <v>49</v>
      </c>
      <c r="D114" s="25" t="s">
        <v>48</v>
      </c>
      <c r="E114" s="7" t="s">
        <v>247</v>
      </c>
      <c r="F114" s="14" t="s">
        <v>197</v>
      </c>
      <c r="G114" s="15">
        <v>46228</v>
      </c>
      <c r="H114" s="26" t="s">
        <v>199</v>
      </c>
      <c r="I114" s="5" t="s">
        <v>65</v>
      </c>
    </row>
    <row r="115" spans="2:9">
      <c r="B115" s="7" t="s">
        <v>54</v>
      </c>
      <c r="C115" s="25" t="s">
        <v>49</v>
      </c>
      <c r="D115" s="25" t="s">
        <v>55</v>
      </c>
      <c r="E115" s="7" t="s">
        <v>248</v>
      </c>
      <c r="F115" s="14" t="s">
        <v>197</v>
      </c>
      <c r="G115" s="15">
        <v>46230</v>
      </c>
      <c r="H115" s="26" t="s">
        <v>200</v>
      </c>
      <c r="I115" s="5" t="s">
        <v>65</v>
      </c>
    </row>
    <row r="116" spans="2:9">
      <c r="B116" s="7" t="s">
        <v>54</v>
      </c>
      <c r="C116" s="25" t="s">
        <v>49</v>
      </c>
      <c r="D116" s="25" t="s">
        <v>48</v>
      </c>
      <c r="E116" s="7" t="s">
        <v>249</v>
      </c>
      <c r="F116" s="14" t="s">
        <v>197</v>
      </c>
      <c r="G116" s="15">
        <v>46228</v>
      </c>
      <c r="H116" s="26" t="s">
        <v>201</v>
      </c>
      <c r="I116" s="5" t="s">
        <v>65</v>
      </c>
    </row>
    <row r="117" spans="2:9">
      <c r="B117" s="7" t="s">
        <v>54</v>
      </c>
      <c r="C117" s="25" t="s">
        <v>49</v>
      </c>
      <c r="D117" s="25" t="s">
        <v>48</v>
      </c>
      <c r="E117" s="7" t="s">
        <v>250</v>
      </c>
      <c r="F117" s="14" t="s">
        <v>197</v>
      </c>
      <c r="G117" s="15">
        <v>46228</v>
      </c>
      <c r="H117" s="26" t="s">
        <v>202</v>
      </c>
      <c r="I117" s="5" t="s">
        <v>65</v>
      </c>
    </row>
    <row r="118" spans="2:9">
      <c r="B118" s="7" t="s">
        <v>54</v>
      </c>
      <c r="C118" s="25" t="s">
        <v>49</v>
      </c>
      <c r="D118" s="25" t="s">
        <v>48</v>
      </c>
      <c r="E118" s="7" t="s">
        <v>251</v>
      </c>
      <c r="F118" s="14" t="s">
        <v>197</v>
      </c>
      <c r="G118" s="15">
        <v>46228</v>
      </c>
      <c r="H118" s="26" t="s">
        <v>203</v>
      </c>
      <c r="I118" s="5" t="s">
        <v>65</v>
      </c>
    </row>
    <row r="119" spans="2:9">
      <c r="B119" s="7" t="s">
        <v>54</v>
      </c>
      <c r="C119" s="25" t="s">
        <v>49</v>
      </c>
      <c r="D119" s="25" t="s">
        <v>48</v>
      </c>
      <c r="E119" s="7" t="s">
        <v>252</v>
      </c>
      <c r="F119" s="14" t="s">
        <v>197</v>
      </c>
      <c r="G119" s="15">
        <v>46228</v>
      </c>
      <c r="H119" s="26" t="s">
        <v>204</v>
      </c>
      <c r="I119" s="5" t="s">
        <v>65</v>
      </c>
    </row>
    <row r="120" spans="2:9">
      <c r="B120" s="7" t="s">
        <v>54</v>
      </c>
      <c r="C120" s="25" t="s">
        <v>49</v>
      </c>
      <c r="D120" s="25" t="s">
        <v>48</v>
      </c>
      <c r="E120" s="7" t="s">
        <v>253</v>
      </c>
      <c r="F120" s="14" t="s">
        <v>197</v>
      </c>
      <c r="G120" s="15">
        <v>46228</v>
      </c>
      <c r="H120" s="26" t="s">
        <v>205</v>
      </c>
      <c r="I120" s="5" t="s">
        <v>65</v>
      </c>
    </row>
    <row r="121" spans="2:9">
      <c r="B121" s="7" t="s">
        <v>54</v>
      </c>
      <c r="C121" s="25" t="s">
        <v>49</v>
      </c>
      <c r="D121" s="25" t="s">
        <v>48</v>
      </c>
      <c r="E121" s="7" t="s">
        <v>254</v>
      </c>
      <c r="F121" s="14" t="s">
        <v>197</v>
      </c>
      <c r="G121" s="15">
        <v>46228</v>
      </c>
      <c r="H121" s="26" t="s">
        <v>206</v>
      </c>
      <c r="I121" s="5" t="s">
        <v>65</v>
      </c>
    </row>
    <row r="122" spans="2:9">
      <c r="B122" s="7" t="s">
        <v>54</v>
      </c>
      <c r="C122" s="25" t="s">
        <v>49</v>
      </c>
      <c r="D122" s="25" t="s">
        <v>48</v>
      </c>
      <c r="E122" s="7" t="s">
        <v>255</v>
      </c>
      <c r="F122" s="14" t="s">
        <v>197</v>
      </c>
      <c r="G122" s="15">
        <v>46228</v>
      </c>
      <c r="H122" s="26" t="s">
        <v>207</v>
      </c>
      <c r="I122" s="5" t="s">
        <v>65</v>
      </c>
    </row>
    <row r="123" spans="2:9">
      <c r="B123" s="7" t="s">
        <v>54</v>
      </c>
      <c r="C123" s="25" t="s">
        <v>49</v>
      </c>
      <c r="D123" s="25" t="s">
        <v>55</v>
      </c>
      <c r="E123" s="7" t="s">
        <v>256</v>
      </c>
      <c r="F123" s="14" t="s">
        <v>197</v>
      </c>
      <c r="G123" s="15">
        <v>46230</v>
      </c>
      <c r="H123" s="26" t="s">
        <v>208</v>
      </c>
      <c r="I123" s="5" t="s">
        <v>65</v>
      </c>
    </row>
    <row r="124" spans="2:9">
      <c r="B124" s="7" t="s">
        <v>54</v>
      </c>
      <c r="C124" s="25" t="s">
        <v>49</v>
      </c>
      <c r="D124" s="25" t="s">
        <v>48</v>
      </c>
      <c r="E124" s="7" t="s">
        <v>257</v>
      </c>
      <c r="F124" s="14" t="s">
        <v>197</v>
      </c>
      <c r="G124" s="15">
        <v>46228</v>
      </c>
      <c r="H124" s="26" t="s">
        <v>209</v>
      </c>
      <c r="I124" s="5" t="s">
        <v>65</v>
      </c>
    </row>
    <row r="125" spans="2:9">
      <c r="B125" s="7" t="s">
        <v>54</v>
      </c>
      <c r="C125" s="25" t="s">
        <v>49</v>
      </c>
      <c r="D125" s="25" t="s">
        <v>48</v>
      </c>
      <c r="E125" s="7" t="s">
        <v>258</v>
      </c>
      <c r="F125" s="14" t="s">
        <v>197</v>
      </c>
      <c r="G125" s="15">
        <v>46228</v>
      </c>
      <c r="H125" s="26" t="s">
        <v>210</v>
      </c>
      <c r="I125" s="5" t="s">
        <v>65</v>
      </c>
    </row>
    <row r="126" spans="2:9">
      <c r="B126" s="7" t="s">
        <v>54</v>
      </c>
      <c r="C126" s="25" t="s">
        <v>49</v>
      </c>
      <c r="D126" s="25" t="s">
        <v>48</v>
      </c>
      <c r="E126" s="7" t="s">
        <v>259</v>
      </c>
      <c r="F126" s="14" t="s">
        <v>197</v>
      </c>
      <c r="G126" s="15">
        <v>46228</v>
      </c>
      <c r="H126" s="26" t="s">
        <v>211</v>
      </c>
      <c r="I126" s="5" t="s">
        <v>65</v>
      </c>
    </row>
    <row r="127" spans="2:9">
      <c r="B127" s="7" t="s">
        <v>54</v>
      </c>
      <c r="C127" s="25" t="s">
        <v>49</v>
      </c>
      <c r="D127" s="25" t="s">
        <v>48</v>
      </c>
      <c r="E127" s="7" t="s">
        <v>260</v>
      </c>
      <c r="F127" s="14" t="s">
        <v>197</v>
      </c>
      <c r="G127" s="15">
        <v>46228</v>
      </c>
      <c r="H127" s="26" t="s">
        <v>212</v>
      </c>
      <c r="I127" s="5" t="s">
        <v>65</v>
      </c>
    </row>
    <row r="128" spans="2:9">
      <c r="B128" s="7" t="s">
        <v>54</v>
      </c>
      <c r="C128" s="25" t="s">
        <v>49</v>
      </c>
      <c r="D128" s="25" t="s">
        <v>48</v>
      </c>
      <c r="E128" s="7" t="s">
        <v>261</v>
      </c>
      <c r="F128" s="14" t="s">
        <v>197</v>
      </c>
      <c r="G128" s="15">
        <v>46228</v>
      </c>
      <c r="H128" s="26" t="s">
        <v>213</v>
      </c>
      <c r="I128" s="5" t="s">
        <v>65</v>
      </c>
    </row>
    <row r="129" spans="2:9">
      <c r="B129" s="7" t="s">
        <v>54</v>
      </c>
      <c r="C129" s="25" t="s">
        <v>49</v>
      </c>
      <c r="D129" s="25" t="s">
        <v>48</v>
      </c>
      <c r="E129" s="7" t="s">
        <v>260</v>
      </c>
      <c r="F129" s="14" t="s">
        <v>197</v>
      </c>
      <c r="G129" s="15">
        <v>46228</v>
      </c>
      <c r="H129" s="26" t="s">
        <v>214</v>
      </c>
      <c r="I129" s="5" t="s">
        <v>65</v>
      </c>
    </row>
    <row r="130" spans="2:9">
      <c r="B130" s="7" t="s">
        <v>54</v>
      </c>
      <c r="C130" s="25" t="s">
        <v>49</v>
      </c>
      <c r="D130" s="25" t="s">
        <v>48</v>
      </c>
      <c r="E130" s="7" t="s">
        <v>262</v>
      </c>
      <c r="F130" s="14" t="s">
        <v>197</v>
      </c>
      <c r="G130" s="15">
        <v>46228</v>
      </c>
      <c r="H130" s="26" t="s">
        <v>215</v>
      </c>
      <c r="I130" s="5" t="s">
        <v>65</v>
      </c>
    </row>
    <row r="131" spans="2:9">
      <c r="B131" s="7" t="s">
        <v>54</v>
      </c>
      <c r="C131" s="25" t="s">
        <v>49</v>
      </c>
      <c r="D131" s="25" t="s">
        <v>48</v>
      </c>
      <c r="E131" s="7" t="s">
        <v>263</v>
      </c>
      <c r="F131" s="14" t="s">
        <v>197</v>
      </c>
      <c r="G131" s="15">
        <v>46228</v>
      </c>
      <c r="H131" s="26" t="s">
        <v>216</v>
      </c>
      <c r="I131" s="5" t="s">
        <v>65</v>
      </c>
    </row>
    <row r="132" spans="2:9">
      <c r="B132" s="7" t="s">
        <v>54</v>
      </c>
      <c r="C132" s="25" t="s">
        <v>49</v>
      </c>
      <c r="D132" s="25" t="s">
        <v>55</v>
      </c>
      <c r="E132" s="7" t="s">
        <v>264</v>
      </c>
      <c r="F132" s="14" t="s">
        <v>197</v>
      </c>
      <c r="G132" s="15">
        <v>46230</v>
      </c>
      <c r="H132" s="26" t="s">
        <v>217</v>
      </c>
      <c r="I132" s="5" t="s">
        <v>65</v>
      </c>
    </row>
    <row r="133" spans="2:9">
      <c r="B133" s="7" t="s">
        <v>54</v>
      </c>
      <c r="C133" s="25" t="s">
        <v>49</v>
      </c>
      <c r="D133" s="25" t="s">
        <v>48</v>
      </c>
      <c r="E133" s="7" t="s">
        <v>265</v>
      </c>
      <c r="F133" s="14" t="s">
        <v>197</v>
      </c>
      <c r="G133" s="15">
        <v>46228</v>
      </c>
      <c r="H133" s="26" t="s">
        <v>218</v>
      </c>
      <c r="I133" s="5" t="s">
        <v>65</v>
      </c>
    </row>
    <row r="134" spans="2:9">
      <c r="B134" s="7" t="s">
        <v>54</v>
      </c>
      <c r="C134" s="25" t="s">
        <v>49</v>
      </c>
      <c r="D134" s="25" t="s">
        <v>48</v>
      </c>
      <c r="E134" s="7" t="s">
        <v>266</v>
      </c>
      <c r="F134" s="14" t="s">
        <v>197</v>
      </c>
      <c r="G134" s="15">
        <v>46228</v>
      </c>
      <c r="H134" s="26" t="s">
        <v>219</v>
      </c>
      <c r="I134" s="5" t="s">
        <v>65</v>
      </c>
    </row>
    <row r="135" spans="2:9">
      <c r="B135" s="7" t="s">
        <v>54</v>
      </c>
      <c r="C135" s="25" t="s">
        <v>49</v>
      </c>
      <c r="D135" s="25" t="s">
        <v>48</v>
      </c>
      <c r="E135" s="7" t="s">
        <v>260</v>
      </c>
      <c r="F135" s="14" t="s">
        <v>197</v>
      </c>
      <c r="G135" s="15">
        <v>46228</v>
      </c>
      <c r="H135" s="26" t="s">
        <v>220</v>
      </c>
      <c r="I135" s="5" t="s">
        <v>65</v>
      </c>
    </row>
    <row r="136" spans="2:9">
      <c r="B136" s="7" t="s">
        <v>54</v>
      </c>
      <c r="C136" s="25" t="s">
        <v>49</v>
      </c>
      <c r="D136" s="25" t="s">
        <v>48</v>
      </c>
      <c r="E136" s="7" t="s">
        <v>266</v>
      </c>
      <c r="F136" s="14" t="s">
        <v>197</v>
      </c>
      <c r="G136" s="15">
        <v>46228</v>
      </c>
      <c r="H136" s="26" t="s">
        <v>221</v>
      </c>
      <c r="I136" s="5" t="s">
        <v>65</v>
      </c>
    </row>
    <row r="137" spans="2:9">
      <c r="B137" s="7" t="s">
        <v>54</v>
      </c>
      <c r="C137" s="25" t="s">
        <v>49</v>
      </c>
      <c r="D137" s="25" t="s">
        <v>48</v>
      </c>
      <c r="E137" s="7" t="s">
        <v>267</v>
      </c>
      <c r="F137" s="14" t="s">
        <v>197</v>
      </c>
      <c r="G137" s="15">
        <v>46228</v>
      </c>
      <c r="H137" s="26" t="s">
        <v>222</v>
      </c>
      <c r="I137" s="5" t="s">
        <v>65</v>
      </c>
    </row>
    <row r="138" spans="2:9">
      <c r="B138" s="7" t="s">
        <v>54</v>
      </c>
      <c r="C138" s="25" t="s">
        <v>49</v>
      </c>
      <c r="D138" s="25" t="s">
        <v>48</v>
      </c>
      <c r="E138" s="7" t="s">
        <v>268</v>
      </c>
      <c r="F138" s="14" t="s">
        <v>197</v>
      </c>
      <c r="G138" s="15">
        <v>46228</v>
      </c>
      <c r="H138" s="26" t="s">
        <v>223</v>
      </c>
      <c r="I138" s="5" t="s">
        <v>65</v>
      </c>
    </row>
    <row r="139" spans="2:9">
      <c r="B139" s="7" t="s">
        <v>54</v>
      </c>
      <c r="C139" s="25" t="s">
        <v>49</v>
      </c>
      <c r="D139" s="25" t="s">
        <v>55</v>
      </c>
      <c r="E139" s="7" t="s">
        <v>269</v>
      </c>
      <c r="F139" s="14" t="s">
        <v>197</v>
      </c>
      <c r="G139" s="15">
        <v>46230</v>
      </c>
      <c r="H139" s="26" t="s">
        <v>224</v>
      </c>
      <c r="I139" s="5" t="s">
        <v>65</v>
      </c>
    </row>
    <row r="140" spans="2:9">
      <c r="B140" s="7" t="s">
        <v>54</v>
      </c>
      <c r="C140" s="25" t="s">
        <v>49</v>
      </c>
      <c r="D140" s="25" t="s">
        <v>48</v>
      </c>
      <c r="E140" s="7" t="s">
        <v>270</v>
      </c>
      <c r="F140" s="14" t="s">
        <v>197</v>
      </c>
      <c r="G140" s="15">
        <v>46228</v>
      </c>
      <c r="H140" s="26" t="s">
        <v>225</v>
      </c>
      <c r="I140" s="5" t="s">
        <v>65</v>
      </c>
    </row>
    <row r="141" spans="2:9">
      <c r="B141" s="7" t="s">
        <v>54</v>
      </c>
      <c r="C141" s="25" t="s">
        <v>49</v>
      </c>
      <c r="D141" s="25" t="s">
        <v>48</v>
      </c>
      <c r="E141" s="7" t="s">
        <v>271</v>
      </c>
      <c r="F141" s="14" t="s">
        <v>197</v>
      </c>
      <c r="G141" s="15">
        <v>46228</v>
      </c>
      <c r="H141" s="26" t="s">
        <v>226</v>
      </c>
      <c r="I141" s="5" t="s">
        <v>65</v>
      </c>
    </row>
    <row r="142" spans="2:9">
      <c r="B142" s="7" t="s">
        <v>54</v>
      </c>
      <c r="C142" s="25" t="s">
        <v>49</v>
      </c>
      <c r="D142" s="25" t="s">
        <v>48</v>
      </c>
      <c r="E142" s="7" t="s">
        <v>272</v>
      </c>
      <c r="F142" s="14" t="s">
        <v>197</v>
      </c>
      <c r="G142" s="15">
        <v>46228</v>
      </c>
      <c r="H142" s="26" t="s">
        <v>227</v>
      </c>
      <c r="I142" s="5" t="s">
        <v>65</v>
      </c>
    </row>
    <row r="143" spans="2:9">
      <c r="B143" s="7" t="s">
        <v>54</v>
      </c>
      <c r="C143" s="25" t="s">
        <v>49</v>
      </c>
      <c r="D143" s="25" t="s">
        <v>48</v>
      </c>
      <c r="E143" s="7" t="s">
        <v>273</v>
      </c>
      <c r="F143" s="14" t="s">
        <v>197</v>
      </c>
      <c r="G143" s="15">
        <v>46228</v>
      </c>
      <c r="H143" s="26" t="s">
        <v>228</v>
      </c>
      <c r="I143" s="5" t="s">
        <v>65</v>
      </c>
    </row>
    <row r="144" spans="2:9">
      <c r="B144" s="7" t="s">
        <v>54</v>
      </c>
      <c r="C144" s="25" t="s">
        <v>49</v>
      </c>
      <c r="D144" s="25" t="s">
        <v>55</v>
      </c>
      <c r="E144" s="7" t="s">
        <v>274</v>
      </c>
      <c r="F144" s="14" t="s">
        <v>197</v>
      </c>
      <c r="G144" s="15">
        <v>46230</v>
      </c>
      <c r="H144" s="26" t="s">
        <v>229</v>
      </c>
      <c r="I144" s="5" t="s">
        <v>65</v>
      </c>
    </row>
    <row r="145" spans="2:9">
      <c r="B145" s="7" t="s">
        <v>54</v>
      </c>
      <c r="C145" s="25" t="s">
        <v>49</v>
      </c>
      <c r="D145" s="25" t="s">
        <v>48</v>
      </c>
      <c r="E145" s="7" t="s">
        <v>275</v>
      </c>
      <c r="F145" s="14" t="s">
        <v>197</v>
      </c>
      <c r="G145" s="15">
        <v>46228</v>
      </c>
      <c r="H145" s="26" t="s">
        <v>230</v>
      </c>
      <c r="I145" s="5" t="s">
        <v>65</v>
      </c>
    </row>
    <row r="146" spans="2:9">
      <c r="B146" s="7" t="s">
        <v>54</v>
      </c>
      <c r="C146" s="25" t="s">
        <v>49</v>
      </c>
      <c r="D146" s="25" t="s">
        <v>48</v>
      </c>
      <c r="E146" s="7" t="s">
        <v>276</v>
      </c>
      <c r="F146" s="14" t="s">
        <v>197</v>
      </c>
      <c r="G146" s="15">
        <v>46228</v>
      </c>
      <c r="H146" s="26" t="s">
        <v>231</v>
      </c>
      <c r="I146" s="5" t="s">
        <v>65</v>
      </c>
    </row>
    <row r="147" spans="2:9">
      <c r="B147" s="7" t="s">
        <v>54</v>
      </c>
      <c r="C147" s="25" t="s">
        <v>49</v>
      </c>
      <c r="D147" s="25" t="s">
        <v>48</v>
      </c>
      <c r="E147" s="7" t="s">
        <v>277</v>
      </c>
      <c r="F147" s="14" t="s">
        <v>197</v>
      </c>
      <c r="G147" s="15">
        <v>46228</v>
      </c>
      <c r="H147" s="26" t="s">
        <v>232</v>
      </c>
      <c r="I147" s="5" t="s">
        <v>65</v>
      </c>
    </row>
    <row r="148" spans="2:9">
      <c r="B148" s="7" t="s">
        <v>54</v>
      </c>
      <c r="C148" s="25" t="s">
        <v>49</v>
      </c>
      <c r="D148" s="25" t="s">
        <v>48</v>
      </c>
      <c r="E148" s="7" t="s">
        <v>278</v>
      </c>
      <c r="F148" s="14" t="s">
        <v>197</v>
      </c>
      <c r="G148" s="15">
        <v>46228</v>
      </c>
      <c r="H148" s="26" t="s">
        <v>233</v>
      </c>
      <c r="I148" s="5" t="s">
        <v>65</v>
      </c>
    </row>
    <row r="149" spans="2:9">
      <c r="B149" s="7" t="s">
        <v>54</v>
      </c>
      <c r="C149" s="25" t="s">
        <v>49</v>
      </c>
      <c r="D149" s="25" t="s">
        <v>48</v>
      </c>
      <c r="E149" s="7" t="s">
        <v>279</v>
      </c>
      <c r="F149" s="14" t="s">
        <v>197</v>
      </c>
      <c r="G149" s="15">
        <v>46228</v>
      </c>
      <c r="H149" s="26" t="s">
        <v>234</v>
      </c>
      <c r="I149" s="5" t="s">
        <v>65</v>
      </c>
    </row>
    <row r="150" spans="2:9">
      <c r="B150" s="7" t="s">
        <v>54</v>
      </c>
      <c r="C150" s="25" t="s">
        <v>49</v>
      </c>
      <c r="D150" s="25" t="s">
        <v>48</v>
      </c>
      <c r="E150" s="7" t="s">
        <v>280</v>
      </c>
      <c r="F150" s="14" t="s">
        <v>197</v>
      </c>
      <c r="G150" s="15">
        <v>46228</v>
      </c>
      <c r="H150" s="26" t="s">
        <v>235</v>
      </c>
      <c r="I150" s="5" t="s">
        <v>65</v>
      </c>
    </row>
    <row r="151" spans="2:9">
      <c r="B151" s="7" t="s">
        <v>54</v>
      </c>
      <c r="C151" s="25" t="s">
        <v>49</v>
      </c>
      <c r="D151" s="25" t="s">
        <v>48</v>
      </c>
      <c r="E151" s="7" t="s">
        <v>281</v>
      </c>
      <c r="F151" s="14" t="s">
        <v>197</v>
      </c>
      <c r="G151" s="15">
        <v>46228</v>
      </c>
      <c r="H151" s="26" t="s">
        <v>236</v>
      </c>
      <c r="I151" s="5" t="s">
        <v>65</v>
      </c>
    </row>
    <row r="152" spans="2:9">
      <c r="B152" s="7" t="s">
        <v>54</v>
      </c>
      <c r="C152" s="25" t="s">
        <v>49</v>
      </c>
      <c r="D152" s="25" t="s">
        <v>48</v>
      </c>
      <c r="E152" s="7" t="s">
        <v>282</v>
      </c>
      <c r="F152" s="14" t="s">
        <v>197</v>
      </c>
      <c r="G152" s="15">
        <v>46228</v>
      </c>
      <c r="H152" s="26" t="s">
        <v>237</v>
      </c>
      <c r="I152" s="5" t="s">
        <v>65</v>
      </c>
    </row>
    <row r="153" spans="2:9">
      <c r="B153" s="7" t="s">
        <v>54</v>
      </c>
      <c r="C153" s="25" t="s">
        <v>49</v>
      </c>
      <c r="D153" s="25" t="s">
        <v>48</v>
      </c>
      <c r="E153" s="7" t="s">
        <v>283</v>
      </c>
      <c r="F153" s="14" t="s">
        <v>197</v>
      </c>
      <c r="G153" s="15">
        <v>46228</v>
      </c>
      <c r="H153" s="26" t="s">
        <v>238</v>
      </c>
      <c r="I153" s="5" t="s">
        <v>65</v>
      </c>
    </row>
    <row r="154" spans="2:9">
      <c r="B154" s="7" t="s">
        <v>54</v>
      </c>
      <c r="C154" s="25" t="s">
        <v>49</v>
      </c>
      <c r="D154" s="25" t="s">
        <v>48</v>
      </c>
      <c r="E154" s="7" t="s">
        <v>284</v>
      </c>
      <c r="F154" s="14" t="s">
        <v>197</v>
      </c>
      <c r="G154" s="15">
        <v>46228</v>
      </c>
      <c r="H154" s="26" t="s">
        <v>239</v>
      </c>
      <c r="I154" s="5" t="s">
        <v>65</v>
      </c>
    </row>
    <row r="155" spans="2:9">
      <c r="B155" s="7" t="s">
        <v>54</v>
      </c>
      <c r="C155" s="25" t="s">
        <v>49</v>
      </c>
      <c r="D155" s="25" t="s">
        <v>48</v>
      </c>
      <c r="E155" s="7" t="s">
        <v>285</v>
      </c>
      <c r="F155" s="14" t="s">
        <v>197</v>
      </c>
      <c r="G155" s="15">
        <v>46228</v>
      </c>
      <c r="H155" s="26" t="s">
        <v>240</v>
      </c>
      <c r="I155" s="5" t="s">
        <v>65</v>
      </c>
    </row>
    <row r="156" spans="2:9">
      <c r="B156" s="7" t="s">
        <v>54</v>
      </c>
      <c r="C156" s="25" t="s">
        <v>49</v>
      </c>
      <c r="D156" s="25" t="s">
        <v>48</v>
      </c>
      <c r="E156" s="7" t="s">
        <v>286</v>
      </c>
      <c r="F156" s="14" t="s">
        <v>197</v>
      </c>
      <c r="G156" s="15">
        <v>46228</v>
      </c>
      <c r="H156" s="26" t="s">
        <v>241</v>
      </c>
      <c r="I156" s="5" t="s">
        <v>65</v>
      </c>
    </row>
    <row r="157" spans="2:9">
      <c r="B157" s="7" t="s">
        <v>54</v>
      </c>
      <c r="C157" s="25" t="s">
        <v>49</v>
      </c>
      <c r="D157" s="25" t="s">
        <v>48</v>
      </c>
      <c r="E157" s="7" t="s">
        <v>287</v>
      </c>
      <c r="F157" s="14" t="s">
        <v>197</v>
      </c>
      <c r="G157" s="15">
        <v>46228</v>
      </c>
      <c r="H157" s="26" t="s">
        <v>242</v>
      </c>
      <c r="I157" s="5" t="s">
        <v>65</v>
      </c>
    </row>
    <row r="158" spans="2:9">
      <c r="B158" s="7" t="s">
        <v>54</v>
      </c>
      <c r="C158" s="25" t="s">
        <v>49</v>
      </c>
      <c r="D158" s="25" t="s">
        <v>48</v>
      </c>
      <c r="E158" s="7" t="s">
        <v>288</v>
      </c>
      <c r="F158" s="14" t="s">
        <v>197</v>
      </c>
      <c r="G158" s="15">
        <v>46228</v>
      </c>
      <c r="H158" s="26" t="s">
        <v>243</v>
      </c>
      <c r="I158" s="5" t="s">
        <v>65</v>
      </c>
    </row>
    <row r="159" spans="2:9">
      <c r="B159" s="7" t="s">
        <v>54</v>
      </c>
      <c r="C159" s="25" t="s">
        <v>49</v>
      </c>
      <c r="D159" s="25" t="s">
        <v>55</v>
      </c>
      <c r="E159" s="7" t="s">
        <v>289</v>
      </c>
      <c r="F159" s="14" t="s">
        <v>197</v>
      </c>
      <c r="G159" s="15">
        <v>46230</v>
      </c>
      <c r="H159" s="26" t="s">
        <v>244</v>
      </c>
      <c r="I159" s="5" t="s">
        <v>65</v>
      </c>
    </row>
    <row r="160" spans="2:9">
      <c r="B160" s="7" t="s">
        <v>54</v>
      </c>
      <c r="C160" s="25" t="s">
        <v>49</v>
      </c>
      <c r="D160" s="25" t="s">
        <v>48</v>
      </c>
      <c r="E160" s="7" t="s">
        <v>290</v>
      </c>
      <c r="F160" s="14" t="s">
        <v>197</v>
      </c>
      <c r="G160" s="15">
        <v>46228</v>
      </c>
      <c r="H160" s="26" t="s">
        <v>245</v>
      </c>
      <c r="I160" s="5" t="s">
        <v>65</v>
      </c>
    </row>
    <row r="161" spans="2:9">
      <c r="B161" s="7" t="s">
        <v>54</v>
      </c>
      <c r="C161" s="25" t="s">
        <v>49</v>
      </c>
      <c r="D161" s="25" t="s">
        <v>48</v>
      </c>
      <c r="E161" s="7" t="s">
        <v>339</v>
      </c>
      <c r="F161" s="14">
        <v>46202</v>
      </c>
      <c r="G161" s="15">
        <v>46244</v>
      </c>
      <c r="H161" s="26" t="s">
        <v>292</v>
      </c>
      <c r="I161" s="5" t="s">
        <v>65</v>
      </c>
    </row>
    <row r="162" spans="2:9">
      <c r="B162" s="7" t="s">
        <v>54</v>
      </c>
      <c r="C162" s="25" t="s">
        <v>49</v>
      </c>
      <c r="D162" s="25" t="s">
        <v>48</v>
      </c>
      <c r="E162" s="7" t="s">
        <v>340</v>
      </c>
      <c r="F162" s="14">
        <v>46202</v>
      </c>
      <c r="G162" s="15">
        <v>46244</v>
      </c>
      <c r="H162" s="26" t="s">
        <v>293</v>
      </c>
      <c r="I162" s="5" t="s">
        <v>65</v>
      </c>
    </row>
    <row r="163" spans="2:9">
      <c r="B163" s="7" t="s">
        <v>54</v>
      </c>
      <c r="C163" s="25" t="s">
        <v>49</v>
      </c>
      <c r="D163" s="25" t="s">
        <v>55</v>
      </c>
      <c r="E163" s="7" t="s">
        <v>341</v>
      </c>
      <c r="F163" s="14">
        <v>46202</v>
      </c>
      <c r="G163" s="15">
        <v>46244</v>
      </c>
      <c r="H163" s="26" t="s">
        <v>294</v>
      </c>
      <c r="I163" s="5" t="s">
        <v>65</v>
      </c>
    </row>
    <row r="164" spans="2:9">
      <c r="B164" s="7" t="s">
        <v>54</v>
      </c>
      <c r="C164" s="25" t="s">
        <v>49</v>
      </c>
      <c r="D164" s="25" t="s">
        <v>48</v>
      </c>
      <c r="E164" s="7" t="s">
        <v>342</v>
      </c>
      <c r="F164" s="14">
        <v>46202</v>
      </c>
      <c r="G164" s="15">
        <v>46244</v>
      </c>
      <c r="H164" s="26" t="s">
        <v>295</v>
      </c>
      <c r="I164" s="5" t="s">
        <v>65</v>
      </c>
    </row>
    <row r="165" spans="2:9">
      <c r="B165" s="7" t="s">
        <v>54</v>
      </c>
      <c r="C165" s="25" t="s">
        <v>49</v>
      </c>
      <c r="D165" s="25" t="s">
        <v>48</v>
      </c>
      <c r="E165" s="7" t="s">
        <v>343</v>
      </c>
      <c r="F165" s="14">
        <v>46202</v>
      </c>
      <c r="G165" s="15">
        <v>46244</v>
      </c>
      <c r="H165" s="26" t="s">
        <v>296</v>
      </c>
      <c r="I165" s="5" t="s">
        <v>65</v>
      </c>
    </row>
    <row r="166" spans="2:9">
      <c r="B166" s="7" t="s">
        <v>54</v>
      </c>
      <c r="C166" s="25" t="s">
        <v>49</v>
      </c>
      <c r="D166" s="25" t="s">
        <v>48</v>
      </c>
      <c r="E166" s="7" t="s">
        <v>344</v>
      </c>
      <c r="F166" s="14">
        <v>46202</v>
      </c>
      <c r="G166" s="15">
        <v>46244</v>
      </c>
      <c r="H166" s="26" t="s">
        <v>297</v>
      </c>
      <c r="I166" s="5" t="s">
        <v>65</v>
      </c>
    </row>
    <row r="167" spans="2:9">
      <c r="B167" s="7" t="s">
        <v>54</v>
      </c>
      <c r="C167" s="25" t="s">
        <v>49</v>
      </c>
      <c r="D167" s="25" t="s">
        <v>48</v>
      </c>
      <c r="E167" s="7" t="s">
        <v>344</v>
      </c>
      <c r="F167" s="14">
        <v>46202</v>
      </c>
      <c r="G167" s="15">
        <v>46244</v>
      </c>
      <c r="H167" s="26" t="s">
        <v>298</v>
      </c>
      <c r="I167" s="5" t="s">
        <v>65</v>
      </c>
    </row>
    <row r="168" spans="2:9">
      <c r="B168" s="7" t="s">
        <v>54</v>
      </c>
      <c r="C168" s="25" t="s">
        <v>49</v>
      </c>
      <c r="D168" s="25" t="s">
        <v>48</v>
      </c>
      <c r="E168" s="7" t="s">
        <v>345</v>
      </c>
      <c r="F168" s="14">
        <v>46202</v>
      </c>
      <c r="G168" s="15">
        <v>46244</v>
      </c>
      <c r="H168" s="26" t="s">
        <v>299</v>
      </c>
      <c r="I168" s="5" t="s">
        <v>65</v>
      </c>
    </row>
    <row r="169" spans="2:9">
      <c r="B169" s="7" t="s">
        <v>54</v>
      </c>
      <c r="C169" s="25" t="s">
        <v>49</v>
      </c>
      <c r="D169" s="25" t="s">
        <v>55</v>
      </c>
      <c r="E169" s="7" t="s">
        <v>341</v>
      </c>
      <c r="F169" s="14">
        <v>46202</v>
      </c>
      <c r="G169" s="15">
        <v>46244</v>
      </c>
      <c r="H169" s="26" t="s">
        <v>300</v>
      </c>
      <c r="I169" s="5" t="s">
        <v>65</v>
      </c>
    </row>
    <row r="170" spans="2:9">
      <c r="B170" s="7" t="s">
        <v>54</v>
      </c>
      <c r="C170" s="25" t="s">
        <v>49</v>
      </c>
      <c r="D170" s="25" t="s">
        <v>48</v>
      </c>
      <c r="E170" s="7" t="s">
        <v>346</v>
      </c>
      <c r="F170" s="14">
        <v>46202</v>
      </c>
      <c r="G170" s="15">
        <v>46244</v>
      </c>
      <c r="H170" s="26" t="s">
        <v>301</v>
      </c>
      <c r="I170" s="5" t="s">
        <v>65</v>
      </c>
    </row>
    <row r="171" spans="2:9">
      <c r="B171" s="7" t="s">
        <v>54</v>
      </c>
      <c r="C171" s="25" t="s">
        <v>49</v>
      </c>
      <c r="D171" s="25" t="s">
        <v>48</v>
      </c>
      <c r="E171" s="7" t="s">
        <v>347</v>
      </c>
      <c r="F171" s="14">
        <v>46202</v>
      </c>
      <c r="G171" s="15">
        <v>46244</v>
      </c>
      <c r="H171" s="26" t="s">
        <v>302</v>
      </c>
      <c r="I171" s="5" t="s">
        <v>65</v>
      </c>
    </row>
    <row r="172" spans="2:9">
      <c r="B172" s="7" t="s">
        <v>54</v>
      </c>
      <c r="C172" s="25" t="s">
        <v>49</v>
      </c>
      <c r="D172" s="25" t="s">
        <v>48</v>
      </c>
      <c r="E172" s="7" t="s">
        <v>348</v>
      </c>
      <c r="F172" s="14">
        <v>46202</v>
      </c>
      <c r="G172" s="15">
        <v>46244</v>
      </c>
      <c r="H172" s="26" t="s">
        <v>303</v>
      </c>
      <c r="I172" s="5" t="s">
        <v>65</v>
      </c>
    </row>
    <row r="173" spans="2:9">
      <c r="B173" s="7" t="s">
        <v>54</v>
      </c>
      <c r="C173" s="25" t="s">
        <v>49</v>
      </c>
      <c r="D173" s="25" t="s">
        <v>48</v>
      </c>
      <c r="E173" s="7" t="s">
        <v>349</v>
      </c>
      <c r="F173" s="14">
        <v>46202</v>
      </c>
      <c r="G173" s="15">
        <v>46244</v>
      </c>
      <c r="H173" s="26" t="s">
        <v>304</v>
      </c>
      <c r="I173" s="5" t="s">
        <v>65</v>
      </c>
    </row>
    <row r="174" spans="2:9">
      <c r="B174" s="7" t="s">
        <v>54</v>
      </c>
      <c r="C174" s="25" t="s">
        <v>49</v>
      </c>
      <c r="D174" s="25" t="s">
        <v>48</v>
      </c>
      <c r="E174" s="7" t="s">
        <v>350</v>
      </c>
      <c r="F174" s="14">
        <v>46202</v>
      </c>
      <c r="G174" s="15">
        <v>46244</v>
      </c>
      <c r="H174" s="26" t="s">
        <v>305</v>
      </c>
      <c r="I174" s="5" t="s">
        <v>65</v>
      </c>
    </row>
    <row r="175" spans="2:9">
      <c r="B175" s="7" t="s">
        <v>54</v>
      </c>
      <c r="C175" s="25" t="s">
        <v>49</v>
      </c>
      <c r="D175" s="25" t="s">
        <v>55</v>
      </c>
      <c r="E175" s="7" t="s">
        <v>351</v>
      </c>
      <c r="F175" s="14">
        <v>46202</v>
      </c>
      <c r="G175" s="15">
        <v>46244</v>
      </c>
      <c r="H175" s="26" t="s">
        <v>306</v>
      </c>
      <c r="I175" s="5" t="s">
        <v>65</v>
      </c>
    </row>
    <row r="176" spans="2:9">
      <c r="B176" s="7" t="s">
        <v>54</v>
      </c>
      <c r="C176" s="25" t="s">
        <v>49</v>
      </c>
      <c r="D176" s="25" t="s">
        <v>48</v>
      </c>
      <c r="E176" s="7" t="s">
        <v>352</v>
      </c>
      <c r="F176" s="14">
        <v>46202</v>
      </c>
      <c r="G176" s="15">
        <v>46244</v>
      </c>
      <c r="H176" s="26" t="s">
        <v>307</v>
      </c>
      <c r="I176" s="5" t="s">
        <v>65</v>
      </c>
    </row>
    <row r="177" spans="2:9">
      <c r="B177" s="7" t="s">
        <v>54</v>
      </c>
      <c r="C177" s="25" t="s">
        <v>49</v>
      </c>
      <c r="D177" s="25" t="s">
        <v>48</v>
      </c>
      <c r="E177" s="7" t="s">
        <v>353</v>
      </c>
      <c r="F177" s="14">
        <v>46202</v>
      </c>
      <c r="G177" s="15">
        <v>46244</v>
      </c>
      <c r="H177" s="26" t="s">
        <v>308</v>
      </c>
      <c r="I177" s="5" t="s">
        <v>65</v>
      </c>
    </row>
    <row r="178" spans="2:9">
      <c r="B178" s="7" t="s">
        <v>54</v>
      </c>
      <c r="C178" s="25" t="s">
        <v>49</v>
      </c>
      <c r="D178" s="25" t="s">
        <v>48</v>
      </c>
      <c r="E178" s="7" t="s">
        <v>354</v>
      </c>
      <c r="F178" s="14">
        <v>46202</v>
      </c>
      <c r="G178" s="15">
        <v>46244</v>
      </c>
      <c r="H178" s="26" t="s">
        <v>309</v>
      </c>
      <c r="I178" s="5" t="s">
        <v>65</v>
      </c>
    </row>
    <row r="179" spans="2:9">
      <c r="B179" s="7" t="s">
        <v>54</v>
      </c>
      <c r="C179" s="25" t="s">
        <v>49</v>
      </c>
      <c r="D179" s="25" t="s">
        <v>48</v>
      </c>
      <c r="E179" s="7" t="s">
        <v>355</v>
      </c>
      <c r="F179" s="14">
        <v>46202</v>
      </c>
      <c r="G179" s="15">
        <v>46244</v>
      </c>
      <c r="H179" s="26" t="s">
        <v>310</v>
      </c>
      <c r="I179" s="5" t="s">
        <v>65</v>
      </c>
    </row>
    <row r="180" spans="2:9">
      <c r="B180" s="7" t="s">
        <v>54</v>
      </c>
      <c r="C180" s="25" t="s">
        <v>49</v>
      </c>
      <c r="D180" s="25" t="s">
        <v>48</v>
      </c>
      <c r="E180" s="7" t="s">
        <v>356</v>
      </c>
      <c r="F180" s="14">
        <v>46202</v>
      </c>
      <c r="G180" s="15">
        <v>46244</v>
      </c>
      <c r="H180" s="26" t="s">
        <v>311</v>
      </c>
      <c r="I180" s="5" t="s">
        <v>65</v>
      </c>
    </row>
    <row r="181" spans="2:9">
      <c r="B181" s="7" t="s">
        <v>54</v>
      </c>
      <c r="C181" s="25" t="s">
        <v>49</v>
      </c>
      <c r="D181" s="25" t="s">
        <v>48</v>
      </c>
      <c r="E181" s="7" t="s">
        <v>357</v>
      </c>
      <c r="F181" s="14">
        <v>46202</v>
      </c>
      <c r="G181" s="15">
        <v>46244</v>
      </c>
      <c r="H181" s="26" t="s">
        <v>312</v>
      </c>
      <c r="I181" s="5" t="s">
        <v>65</v>
      </c>
    </row>
    <row r="182" spans="2:9">
      <c r="B182" s="7" t="s">
        <v>54</v>
      </c>
      <c r="C182" s="25" t="s">
        <v>49</v>
      </c>
      <c r="D182" s="25" t="s">
        <v>48</v>
      </c>
      <c r="E182" s="7" t="s">
        <v>358</v>
      </c>
      <c r="F182" s="14">
        <v>46202</v>
      </c>
      <c r="G182" s="15">
        <v>46244</v>
      </c>
      <c r="H182" s="26" t="s">
        <v>313</v>
      </c>
      <c r="I182" s="5" t="s">
        <v>65</v>
      </c>
    </row>
    <row r="183" spans="2:9">
      <c r="B183" s="7" t="s">
        <v>54</v>
      </c>
      <c r="C183" s="25" t="s">
        <v>49</v>
      </c>
      <c r="D183" s="25" t="s">
        <v>48</v>
      </c>
      <c r="E183" s="7" t="s">
        <v>359</v>
      </c>
      <c r="F183" s="14">
        <v>46202</v>
      </c>
      <c r="G183" s="15">
        <v>46244</v>
      </c>
      <c r="H183" s="26" t="s">
        <v>314</v>
      </c>
      <c r="I183" s="5" t="s">
        <v>65</v>
      </c>
    </row>
    <row r="184" spans="2:9">
      <c r="B184" s="7" t="s">
        <v>54</v>
      </c>
      <c r="C184" s="25" t="s">
        <v>49</v>
      </c>
      <c r="D184" s="25" t="s">
        <v>48</v>
      </c>
      <c r="E184" s="7" t="s">
        <v>354</v>
      </c>
      <c r="F184" s="14">
        <v>46202</v>
      </c>
      <c r="G184" s="15">
        <v>46244</v>
      </c>
      <c r="H184" s="26" t="s">
        <v>315</v>
      </c>
      <c r="I184" s="5" t="s">
        <v>65</v>
      </c>
    </row>
    <row r="185" spans="2:9">
      <c r="B185" s="7" t="s">
        <v>54</v>
      </c>
      <c r="C185" s="25" t="s">
        <v>49</v>
      </c>
      <c r="D185" s="25" t="s">
        <v>48</v>
      </c>
      <c r="E185" s="7" t="s">
        <v>360</v>
      </c>
      <c r="F185" s="14">
        <v>46202</v>
      </c>
      <c r="G185" s="15">
        <v>46244</v>
      </c>
      <c r="H185" s="26" t="s">
        <v>316</v>
      </c>
      <c r="I185" s="5" t="s">
        <v>65</v>
      </c>
    </row>
    <row r="186" spans="2:9">
      <c r="B186" s="7" t="s">
        <v>54</v>
      </c>
      <c r="C186" s="25" t="s">
        <v>49</v>
      </c>
      <c r="D186" s="25" t="s">
        <v>55</v>
      </c>
      <c r="E186" s="7" t="s">
        <v>361</v>
      </c>
      <c r="F186" s="14">
        <v>46202</v>
      </c>
      <c r="G186" s="15">
        <v>46244</v>
      </c>
      <c r="H186" s="26" t="s">
        <v>317</v>
      </c>
      <c r="I186" s="5" t="s">
        <v>65</v>
      </c>
    </row>
    <row r="187" spans="2:9">
      <c r="B187" s="7" t="s">
        <v>54</v>
      </c>
      <c r="C187" s="25" t="s">
        <v>49</v>
      </c>
      <c r="D187" s="25" t="s">
        <v>48</v>
      </c>
      <c r="E187" s="7" t="s">
        <v>362</v>
      </c>
      <c r="F187" s="14">
        <v>46202</v>
      </c>
      <c r="G187" s="15">
        <v>46244</v>
      </c>
      <c r="H187" s="26" t="s">
        <v>318</v>
      </c>
      <c r="I187" s="5" t="s">
        <v>65</v>
      </c>
    </row>
    <row r="188" spans="2:9">
      <c r="B188" s="7" t="s">
        <v>54</v>
      </c>
      <c r="C188" s="25" t="s">
        <v>49</v>
      </c>
      <c r="D188" s="25" t="s">
        <v>48</v>
      </c>
      <c r="E188" s="7" t="s">
        <v>363</v>
      </c>
      <c r="F188" s="14">
        <v>46202</v>
      </c>
      <c r="G188" s="15">
        <v>46244</v>
      </c>
      <c r="H188" s="26" t="s">
        <v>319</v>
      </c>
      <c r="I188" s="5" t="s">
        <v>65</v>
      </c>
    </row>
    <row r="189" spans="2:9">
      <c r="B189" s="7" t="s">
        <v>54</v>
      </c>
      <c r="C189" s="25" t="s">
        <v>49</v>
      </c>
      <c r="D189" s="25" t="s">
        <v>48</v>
      </c>
      <c r="E189" s="7" t="s">
        <v>364</v>
      </c>
      <c r="F189" s="14">
        <v>46202</v>
      </c>
      <c r="G189" s="15">
        <v>46244</v>
      </c>
      <c r="H189" s="26" t="s">
        <v>320</v>
      </c>
      <c r="I189" s="5" t="s">
        <v>65</v>
      </c>
    </row>
    <row r="190" spans="2:9">
      <c r="B190" s="7" t="s">
        <v>54</v>
      </c>
      <c r="C190" s="25" t="s">
        <v>49</v>
      </c>
      <c r="D190" s="25" t="s">
        <v>48</v>
      </c>
      <c r="E190" s="7" t="s">
        <v>352</v>
      </c>
      <c r="F190" s="14">
        <v>46202</v>
      </c>
      <c r="G190" s="15">
        <v>46244</v>
      </c>
      <c r="H190" s="26" t="s">
        <v>321</v>
      </c>
      <c r="I190" s="5" t="s">
        <v>65</v>
      </c>
    </row>
    <row r="191" spans="2:9">
      <c r="B191" s="7" t="s">
        <v>54</v>
      </c>
      <c r="C191" s="25" t="s">
        <v>49</v>
      </c>
      <c r="D191" s="25" t="s">
        <v>48</v>
      </c>
      <c r="E191" s="7" t="s">
        <v>365</v>
      </c>
      <c r="F191" s="14">
        <v>46202</v>
      </c>
      <c r="G191" s="15">
        <v>46244</v>
      </c>
      <c r="H191" s="26" t="s">
        <v>322</v>
      </c>
      <c r="I191" s="5" t="s">
        <v>65</v>
      </c>
    </row>
    <row r="192" spans="2:9">
      <c r="B192" s="7" t="s">
        <v>54</v>
      </c>
      <c r="C192" s="25" t="s">
        <v>49</v>
      </c>
      <c r="D192" s="25" t="s">
        <v>48</v>
      </c>
      <c r="E192" s="7" t="s">
        <v>366</v>
      </c>
      <c r="F192" s="14">
        <v>46202</v>
      </c>
      <c r="G192" s="15">
        <v>46244</v>
      </c>
      <c r="H192" s="26" t="s">
        <v>323</v>
      </c>
      <c r="I192" s="5" t="s">
        <v>65</v>
      </c>
    </row>
    <row r="193" spans="2:9">
      <c r="B193" s="7" t="s">
        <v>54</v>
      </c>
      <c r="C193" s="25" t="s">
        <v>49</v>
      </c>
      <c r="D193" s="25" t="s">
        <v>48</v>
      </c>
      <c r="E193" s="7" t="s">
        <v>367</v>
      </c>
      <c r="F193" s="14">
        <v>46202</v>
      </c>
      <c r="G193" s="15">
        <v>46244</v>
      </c>
      <c r="H193" s="26" t="s">
        <v>324</v>
      </c>
      <c r="I193" s="5" t="s">
        <v>65</v>
      </c>
    </row>
    <row r="194" spans="2:9">
      <c r="B194" s="7" t="s">
        <v>54</v>
      </c>
      <c r="C194" s="25" t="s">
        <v>49</v>
      </c>
      <c r="D194" s="25" t="s">
        <v>48</v>
      </c>
      <c r="E194" s="7" t="s">
        <v>368</v>
      </c>
      <c r="F194" s="14">
        <v>46202</v>
      </c>
      <c r="G194" s="15">
        <v>46244</v>
      </c>
      <c r="H194" s="26" t="s">
        <v>325</v>
      </c>
      <c r="I194" s="5" t="s">
        <v>65</v>
      </c>
    </row>
    <row r="195" spans="2:9">
      <c r="B195" s="7" t="s">
        <v>54</v>
      </c>
      <c r="C195" s="25" t="s">
        <v>49</v>
      </c>
      <c r="D195" s="25" t="s">
        <v>48</v>
      </c>
      <c r="E195" s="7" t="s">
        <v>369</v>
      </c>
      <c r="F195" s="14">
        <v>46202</v>
      </c>
      <c r="G195" s="15">
        <v>46244</v>
      </c>
      <c r="H195" s="26" t="s">
        <v>326</v>
      </c>
      <c r="I195" s="5" t="s">
        <v>65</v>
      </c>
    </row>
    <row r="196" spans="2:9">
      <c r="B196" s="7" t="s">
        <v>54</v>
      </c>
      <c r="C196" s="25" t="s">
        <v>49</v>
      </c>
      <c r="D196" s="25" t="s">
        <v>48</v>
      </c>
      <c r="E196" s="7" t="s">
        <v>370</v>
      </c>
      <c r="F196" s="14">
        <v>46202</v>
      </c>
      <c r="G196" s="15">
        <v>46244</v>
      </c>
      <c r="H196" s="26" t="s">
        <v>327</v>
      </c>
      <c r="I196" s="5" t="s">
        <v>65</v>
      </c>
    </row>
    <row r="197" spans="2:9">
      <c r="B197" s="7" t="s">
        <v>54</v>
      </c>
      <c r="C197" s="25" t="s">
        <v>49</v>
      </c>
      <c r="D197" s="25" t="s">
        <v>48</v>
      </c>
      <c r="E197" s="7" t="s">
        <v>371</v>
      </c>
      <c r="F197" s="14">
        <v>46202</v>
      </c>
      <c r="G197" s="15">
        <v>46244</v>
      </c>
      <c r="H197" s="26" t="s">
        <v>328</v>
      </c>
      <c r="I197" s="5" t="s">
        <v>65</v>
      </c>
    </row>
    <row r="198" spans="2:9">
      <c r="B198" s="7" t="s">
        <v>54</v>
      </c>
      <c r="C198" s="25" t="s">
        <v>49</v>
      </c>
      <c r="D198" s="25" t="s">
        <v>55</v>
      </c>
      <c r="E198" s="7" t="s">
        <v>372</v>
      </c>
      <c r="F198" s="14">
        <v>46202</v>
      </c>
      <c r="G198" s="15">
        <v>46244</v>
      </c>
      <c r="H198" s="26" t="s">
        <v>329</v>
      </c>
      <c r="I198" s="5" t="s">
        <v>65</v>
      </c>
    </row>
    <row r="199" spans="2:9">
      <c r="B199" s="7" t="s">
        <v>54</v>
      </c>
      <c r="C199" s="25" t="s">
        <v>49</v>
      </c>
      <c r="D199" s="25" t="s">
        <v>48</v>
      </c>
      <c r="E199" s="7" t="s">
        <v>373</v>
      </c>
      <c r="F199" s="14">
        <v>46202</v>
      </c>
      <c r="G199" s="15">
        <v>46244</v>
      </c>
      <c r="H199" s="26" t="s">
        <v>330</v>
      </c>
      <c r="I199" s="5" t="s">
        <v>65</v>
      </c>
    </row>
    <row r="200" spans="2:9">
      <c r="B200" s="7" t="s">
        <v>54</v>
      </c>
      <c r="C200" s="25" t="s">
        <v>49</v>
      </c>
      <c r="D200" s="25" t="s">
        <v>48</v>
      </c>
      <c r="E200" s="7" t="s">
        <v>359</v>
      </c>
      <c r="F200" s="14">
        <v>46202</v>
      </c>
      <c r="G200" s="15">
        <v>46244</v>
      </c>
      <c r="H200" s="26" t="s">
        <v>331</v>
      </c>
      <c r="I200" s="5" t="s">
        <v>65</v>
      </c>
    </row>
    <row r="201" spans="2:9">
      <c r="B201" s="7" t="s">
        <v>54</v>
      </c>
      <c r="C201" s="25" t="s">
        <v>49</v>
      </c>
      <c r="D201" s="25" t="s">
        <v>48</v>
      </c>
      <c r="E201" s="7" t="s">
        <v>374</v>
      </c>
      <c r="F201" s="14">
        <v>46202</v>
      </c>
      <c r="G201" s="15">
        <v>46244</v>
      </c>
      <c r="H201" s="26" t="s">
        <v>332</v>
      </c>
      <c r="I201" s="5" t="s">
        <v>65</v>
      </c>
    </row>
    <row r="202" spans="2:9">
      <c r="B202" s="7" t="s">
        <v>54</v>
      </c>
      <c r="C202" s="25" t="s">
        <v>49</v>
      </c>
      <c r="D202" s="25" t="s">
        <v>48</v>
      </c>
      <c r="E202" s="7" t="s">
        <v>375</v>
      </c>
      <c r="F202" s="14">
        <v>46202</v>
      </c>
      <c r="G202" s="15">
        <v>46244</v>
      </c>
      <c r="H202" s="26" t="s">
        <v>333</v>
      </c>
      <c r="I202" s="5" t="s">
        <v>65</v>
      </c>
    </row>
    <row r="203" spans="2:9">
      <c r="B203" s="7" t="s">
        <v>54</v>
      </c>
      <c r="C203" s="25" t="s">
        <v>49</v>
      </c>
      <c r="D203" s="25" t="s">
        <v>48</v>
      </c>
      <c r="E203" s="7" t="s">
        <v>359</v>
      </c>
      <c r="F203" s="14">
        <v>46202</v>
      </c>
      <c r="G203" s="15">
        <v>46244</v>
      </c>
      <c r="H203" s="26" t="s">
        <v>334</v>
      </c>
      <c r="I203" s="5" t="s">
        <v>65</v>
      </c>
    </row>
    <row r="204" spans="2:9">
      <c r="B204" s="7" t="s">
        <v>54</v>
      </c>
      <c r="C204" s="25" t="s">
        <v>49</v>
      </c>
      <c r="D204" s="25" t="s">
        <v>48</v>
      </c>
      <c r="E204" s="7" t="s">
        <v>376</v>
      </c>
      <c r="F204" s="14">
        <v>46202</v>
      </c>
      <c r="G204" s="15">
        <v>46244</v>
      </c>
      <c r="H204" s="26" t="s">
        <v>335</v>
      </c>
      <c r="I204" s="5" t="s">
        <v>65</v>
      </c>
    </row>
    <row r="205" spans="2:9">
      <c r="B205" s="7" t="s">
        <v>54</v>
      </c>
      <c r="C205" s="25" t="s">
        <v>49</v>
      </c>
      <c r="D205" s="25" t="s">
        <v>48</v>
      </c>
      <c r="E205" s="7" t="s">
        <v>377</v>
      </c>
      <c r="F205" s="14">
        <v>46202</v>
      </c>
      <c r="G205" s="15">
        <v>46244</v>
      </c>
      <c r="H205" s="26" t="s">
        <v>336</v>
      </c>
      <c r="I205" s="5" t="s">
        <v>65</v>
      </c>
    </row>
    <row r="206" spans="2:9">
      <c r="B206" s="7" t="s">
        <v>54</v>
      </c>
      <c r="C206" s="25" t="s">
        <v>49</v>
      </c>
      <c r="D206" s="25" t="s">
        <v>48</v>
      </c>
      <c r="E206" s="7" t="s">
        <v>378</v>
      </c>
      <c r="F206" s="14">
        <v>46202</v>
      </c>
      <c r="G206" s="15">
        <v>46244</v>
      </c>
      <c r="H206" s="26" t="s">
        <v>337</v>
      </c>
      <c r="I206" s="5" t="s">
        <v>65</v>
      </c>
    </row>
    <row r="207" spans="2:9">
      <c r="B207" s="7" t="s">
        <v>54</v>
      </c>
      <c r="C207" s="25" t="s">
        <v>49</v>
      </c>
      <c r="D207" s="25" t="s">
        <v>48</v>
      </c>
      <c r="E207" s="7" t="s">
        <v>352</v>
      </c>
      <c r="F207" s="14">
        <v>46202</v>
      </c>
      <c r="G207" s="15">
        <v>46244</v>
      </c>
      <c r="H207" s="26" t="s">
        <v>338</v>
      </c>
      <c r="I207" s="5" t="s">
        <v>65</v>
      </c>
    </row>
    <row r="208" spans="2:9">
      <c r="B208" s="7" t="s">
        <v>54</v>
      </c>
      <c r="C208" s="25" t="s">
        <v>49</v>
      </c>
      <c r="D208" s="25" t="s">
        <v>48</v>
      </c>
      <c r="E208" s="7" t="s">
        <v>462</v>
      </c>
      <c r="F208" s="14">
        <v>46206</v>
      </c>
      <c r="G208" s="7" t="s">
        <v>445</v>
      </c>
      <c r="H208" s="26" t="s">
        <v>380</v>
      </c>
      <c r="I208" s="5" t="s">
        <v>65</v>
      </c>
    </row>
    <row r="209" spans="2:9">
      <c r="B209" s="7" t="s">
        <v>54</v>
      </c>
      <c r="C209" s="25" t="s">
        <v>49</v>
      </c>
      <c r="D209" s="25" t="s">
        <v>48</v>
      </c>
      <c r="E209" s="7" t="s">
        <v>463</v>
      </c>
      <c r="F209" s="14">
        <v>46206</v>
      </c>
      <c r="G209" s="7" t="s">
        <v>445</v>
      </c>
      <c r="H209" s="26" t="s">
        <v>381</v>
      </c>
      <c r="I209" s="5" t="s">
        <v>65</v>
      </c>
    </row>
    <row r="210" spans="2:9">
      <c r="B210" s="7" t="s">
        <v>54</v>
      </c>
      <c r="C210" s="25" t="s">
        <v>49</v>
      </c>
      <c r="D210" s="25" t="s">
        <v>48</v>
      </c>
      <c r="E210" s="7" t="s">
        <v>356</v>
      </c>
      <c r="F210" s="14">
        <v>46206</v>
      </c>
      <c r="G210" s="7" t="s">
        <v>445</v>
      </c>
      <c r="H210" s="26" t="s">
        <v>382</v>
      </c>
      <c r="I210" s="5" t="s">
        <v>65</v>
      </c>
    </row>
    <row r="211" spans="2:9">
      <c r="B211" s="7" t="s">
        <v>54</v>
      </c>
      <c r="C211" s="25" t="s">
        <v>49</v>
      </c>
      <c r="D211" s="25" t="s">
        <v>48</v>
      </c>
      <c r="E211" s="7" t="s">
        <v>464</v>
      </c>
      <c r="F211" s="14">
        <v>46206</v>
      </c>
      <c r="G211" s="7" t="s">
        <v>446</v>
      </c>
      <c r="H211" s="26" t="s">
        <v>383</v>
      </c>
      <c r="I211" s="5" t="s">
        <v>65</v>
      </c>
    </row>
    <row r="212" spans="2:9">
      <c r="B212" s="7" t="s">
        <v>54</v>
      </c>
      <c r="C212" s="25" t="s">
        <v>49</v>
      </c>
      <c r="D212" s="25" t="s">
        <v>48</v>
      </c>
      <c r="E212" s="7" t="s">
        <v>465</v>
      </c>
      <c r="F212" s="14">
        <v>46206</v>
      </c>
      <c r="G212" s="7" t="s">
        <v>447</v>
      </c>
      <c r="H212" s="26" t="s">
        <v>384</v>
      </c>
      <c r="I212" s="5" t="s">
        <v>65</v>
      </c>
    </row>
    <row r="213" spans="2:9">
      <c r="B213" s="7" t="s">
        <v>54</v>
      </c>
      <c r="C213" s="25" t="s">
        <v>49</v>
      </c>
      <c r="D213" s="25" t="s">
        <v>48</v>
      </c>
      <c r="E213" s="7" t="s">
        <v>466</v>
      </c>
      <c r="F213" s="14">
        <v>46206</v>
      </c>
      <c r="G213" s="7" t="s">
        <v>447</v>
      </c>
      <c r="H213" s="26" t="s">
        <v>385</v>
      </c>
      <c r="I213" s="5" t="s">
        <v>65</v>
      </c>
    </row>
    <row r="214" spans="2:9">
      <c r="B214" s="7" t="s">
        <v>54</v>
      </c>
      <c r="C214" s="25" t="s">
        <v>49</v>
      </c>
      <c r="D214" s="25" t="s">
        <v>48</v>
      </c>
      <c r="E214" s="7" t="s">
        <v>467</v>
      </c>
      <c r="F214" s="14">
        <v>46206</v>
      </c>
      <c r="G214" s="7" t="s">
        <v>448</v>
      </c>
      <c r="H214" s="26" t="s">
        <v>386</v>
      </c>
      <c r="I214" s="5" t="s">
        <v>65</v>
      </c>
    </row>
    <row r="215" spans="2:9">
      <c r="B215" s="7" t="s">
        <v>54</v>
      </c>
      <c r="C215" s="25" t="s">
        <v>49</v>
      </c>
      <c r="D215" s="25" t="s">
        <v>48</v>
      </c>
      <c r="E215" s="7" t="s">
        <v>468</v>
      </c>
      <c r="F215" s="14">
        <v>46206</v>
      </c>
      <c r="G215" s="7" t="s">
        <v>448</v>
      </c>
      <c r="H215" s="26" t="s">
        <v>387</v>
      </c>
      <c r="I215" s="5" t="s">
        <v>65</v>
      </c>
    </row>
    <row r="216" spans="2:9">
      <c r="B216" s="7" t="s">
        <v>54</v>
      </c>
      <c r="C216" s="25" t="s">
        <v>49</v>
      </c>
      <c r="D216" s="25" t="s">
        <v>48</v>
      </c>
      <c r="E216" s="7" t="s">
        <v>469</v>
      </c>
      <c r="F216" s="14">
        <v>46206</v>
      </c>
      <c r="G216" s="7" t="s">
        <v>448</v>
      </c>
      <c r="H216" s="26" t="s">
        <v>388</v>
      </c>
      <c r="I216" s="5" t="s">
        <v>65</v>
      </c>
    </row>
    <row r="217" spans="2:9">
      <c r="B217" s="7" t="s">
        <v>54</v>
      </c>
      <c r="C217" s="25" t="s">
        <v>49</v>
      </c>
      <c r="D217" s="25" t="s">
        <v>48</v>
      </c>
      <c r="E217" s="7" t="s">
        <v>348</v>
      </c>
      <c r="F217" s="14">
        <v>46206</v>
      </c>
      <c r="G217" s="7" t="s">
        <v>449</v>
      </c>
      <c r="H217" s="26" t="s">
        <v>389</v>
      </c>
      <c r="I217" s="5" t="s">
        <v>65</v>
      </c>
    </row>
    <row r="218" spans="2:9">
      <c r="B218" s="7" t="s">
        <v>54</v>
      </c>
      <c r="C218" s="25" t="s">
        <v>49</v>
      </c>
      <c r="D218" s="25" t="s">
        <v>48</v>
      </c>
      <c r="E218" s="7" t="s">
        <v>348</v>
      </c>
      <c r="F218" s="14">
        <v>46206</v>
      </c>
      <c r="G218" s="7" t="s">
        <v>449</v>
      </c>
      <c r="H218" s="26" t="s">
        <v>390</v>
      </c>
      <c r="I218" s="5" t="s">
        <v>65</v>
      </c>
    </row>
    <row r="219" spans="2:9">
      <c r="B219" s="7" t="s">
        <v>54</v>
      </c>
      <c r="C219" s="25" t="s">
        <v>49</v>
      </c>
      <c r="D219" s="25" t="s">
        <v>48</v>
      </c>
      <c r="E219" s="7" t="s">
        <v>470</v>
      </c>
      <c r="F219" s="14">
        <v>46206</v>
      </c>
      <c r="G219" s="7" t="s">
        <v>392</v>
      </c>
      <c r="H219" s="26" t="s">
        <v>391</v>
      </c>
      <c r="I219" s="5" t="s">
        <v>65</v>
      </c>
    </row>
    <row r="220" spans="2:9">
      <c r="B220" s="7" t="s">
        <v>54</v>
      </c>
      <c r="C220" s="25" t="s">
        <v>49</v>
      </c>
      <c r="D220" s="25" t="s">
        <v>48</v>
      </c>
      <c r="E220" s="7" t="s">
        <v>471</v>
      </c>
      <c r="F220" s="14">
        <v>46206</v>
      </c>
      <c r="G220" s="7" t="s">
        <v>392</v>
      </c>
      <c r="H220" s="26" t="s">
        <v>393</v>
      </c>
      <c r="I220" s="5" t="s">
        <v>65</v>
      </c>
    </row>
    <row r="221" spans="2:9">
      <c r="B221" s="7" t="s">
        <v>54</v>
      </c>
      <c r="C221" s="25" t="s">
        <v>49</v>
      </c>
      <c r="D221" s="25" t="s">
        <v>48</v>
      </c>
      <c r="E221" s="7" t="s">
        <v>352</v>
      </c>
      <c r="F221" s="14">
        <v>46206</v>
      </c>
      <c r="G221" s="7" t="s">
        <v>392</v>
      </c>
      <c r="H221" s="26" t="s">
        <v>394</v>
      </c>
      <c r="I221" s="5" t="s">
        <v>65</v>
      </c>
    </row>
    <row r="222" spans="2:9">
      <c r="B222" s="7" t="s">
        <v>54</v>
      </c>
      <c r="C222" s="25" t="s">
        <v>49</v>
      </c>
      <c r="D222" s="25" t="s">
        <v>48</v>
      </c>
      <c r="E222" s="7" t="s">
        <v>352</v>
      </c>
      <c r="F222" s="14">
        <v>46206</v>
      </c>
      <c r="G222" s="7" t="s">
        <v>392</v>
      </c>
      <c r="H222" s="26" t="s">
        <v>395</v>
      </c>
      <c r="I222" s="5" t="s">
        <v>65</v>
      </c>
    </row>
    <row r="223" spans="2:9">
      <c r="B223" s="7" t="s">
        <v>54</v>
      </c>
      <c r="C223" s="25" t="s">
        <v>49</v>
      </c>
      <c r="D223" s="25" t="s">
        <v>48</v>
      </c>
      <c r="E223" s="7" t="s">
        <v>352</v>
      </c>
      <c r="F223" s="14">
        <v>46206</v>
      </c>
      <c r="G223" s="7" t="s">
        <v>450</v>
      </c>
      <c r="H223" s="26" t="s">
        <v>396</v>
      </c>
      <c r="I223" s="5" t="s">
        <v>65</v>
      </c>
    </row>
    <row r="224" spans="2:9">
      <c r="B224" s="7" t="s">
        <v>54</v>
      </c>
      <c r="C224" s="25" t="s">
        <v>49</v>
      </c>
      <c r="D224" s="25" t="s">
        <v>48</v>
      </c>
      <c r="E224" s="7" t="s">
        <v>472</v>
      </c>
      <c r="F224" s="14">
        <v>46206</v>
      </c>
      <c r="G224" s="7" t="s">
        <v>450</v>
      </c>
      <c r="H224" s="26" t="s">
        <v>397</v>
      </c>
      <c r="I224" s="5" t="s">
        <v>65</v>
      </c>
    </row>
    <row r="225" spans="2:9">
      <c r="B225" s="7" t="s">
        <v>54</v>
      </c>
      <c r="C225" s="25" t="s">
        <v>49</v>
      </c>
      <c r="D225" s="25" t="s">
        <v>48</v>
      </c>
      <c r="E225" s="7" t="s">
        <v>473</v>
      </c>
      <c r="F225" s="14">
        <v>46206</v>
      </c>
      <c r="G225" s="7" t="s">
        <v>450</v>
      </c>
      <c r="H225" s="26" t="s">
        <v>398</v>
      </c>
      <c r="I225" s="5" t="s">
        <v>65</v>
      </c>
    </row>
    <row r="226" spans="2:9">
      <c r="B226" s="7" t="s">
        <v>54</v>
      </c>
      <c r="C226" s="25" t="s">
        <v>49</v>
      </c>
      <c r="D226" s="25" t="s">
        <v>55</v>
      </c>
      <c r="E226" s="7" t="s">
        <v>474</v>
      </c>
      <c r="F226" s="14">
        <v>46206</v>
      </c>
      <c r="G226" s="7" t="s">
        <v>400</v>
      </c>
      <c r="H226" s="26" t="s">
        <v>399</v>
      </c>
      <c r="I226" s="5" t="s">
        <v>65</v>
      </c>
    </row>
    <row r="227" spans="2:9">
      <c r="B227" s="7" t="s">
        <v>54</v>
      </c>
      <c r="C227" s="25" t="s">
        <v>49</v>
      </c>
      <c r="D227" s="25" t="s">
        <v>48</v>
      </c>
      <c r="E227" s="7" t="s">
        <v>359</v>
      </c>
      <c r="F227" s="14">
        <v>46206</v>
      </c>
      <c r="G227" s="7" t="s">
        <v>450</v>
      </c>
      <c r="H227" s="26" t="s">
        <v>401</v>
      </c>
      <c r="I227" s="5" t="s">
        <v>65</v>
      </c>
    </row>
    <row r="228" spans="2:9">
      <c r="B228" s="7" t="s">
        <v>54</v>
      </c>
      <c r="C228" s="25" t="s">
        <v>49</v>
      </c>
      <c r="D228" s="25" t="s">
        <v>48</v>
      </c>
      <c r="E228" s="7" t="s">
        <v>475</v>
      </c>
      <c r="F228" s="14">
        <v>46206</v>
      </c>
      <c r="G228" s="7" t="s">
        <v>451</v>
      </c>
      <c r="H228" s="26" t="s">
        <v>402</v>
      </c>
      <c r="I228" s="5" t="s">
        <v>65</v>
      </c>
    </row>
    <row r="229" spans="2:9">
      <c r="B229" s="7" t="s">
        <v>54</v>
      </c>
      <c r="C229" s="25" t="s">
        <v>49</v>
      </c>
      <c r="D229" s="25" t="s">
        <v>48</v>
      </c>
      <c r="E229" s="7" t="s">
        <v>362</v>
      </c>
      <c r="F229" s="14">
        <v>46206</v>
      </c>
      <c r="G229" s="7" t="s">
        <v>451</v>
      </c>
      <c r="H229" s="26" t="s">
        <v>403</v>
      </c>
      <c r="I229" s="5" t="s">
        <v>65</v>
      </c>
    </row>
    <row r="230" spans="2:9">
      <c r="B230" s="7" t="s">
        <v>54</v>
      </c>
      <c r="C230" s="25" t="s">
        <v>49</v>
      </c>
      <c r="D230" s="25" t="s">
        <v>48</v>
      </c>
      <c r="E230" s="7" t="s">
        <v>476</v>
      </c>
      <c r="F230" s="14">
        <v>46206</v>
      </c>
      <c r="G230" s="7" t="s">
        <v>452</v>
      </c>
      <c r="H230" s="26" t="s">
        <v>404</v>
      </c>
      <c r="I230" s="5" t="s">
        <v>65</v>
      </c>
    </row>
    <row r="231" spans="2:9">
      <c r="B231" s="7" t="s">
        <v>54</v>
      </c>
      <c r="C231" s="25" t="s">
        <v>49</v>
      </c>
      <c r="D231" s="25" t="s">
        <v>48</v>
      </c>
      <c r="E231" s="7" t="s">
        <v>477</v>
      </c>
      <c r="F231" s="14">
        <v>46206</v>
      </c>
      <c r="G231" s="7" t="s">
        <v>452</v>
      </c>
      <c r="H231" s="26" t="s">
        <v>405</v>
      </c>
      <c r="I231" s="5" t="s">
        <v>65</v>
      </c>
    </row>
    <row r="232" spans="2:9">
      <c r="B232" s="7" t="s">
        <v>54</v>
      </c>
      <c r="C232" s="25" t="s">
        <v>49</v>
      </c>
      <c r="D232" s="25" t="s">
        <v>48</v>
      </c>
      <c r="E232" s="7" t="s">
        <v>478</v>
      </c>
      <c r="F232" s="14">
        <v>46206</v>
      </c>
      <c r="G232" s="7" t="s">
        <v>452</v>
      </c>
      <c r="H232" s="26" t="s">
        <v>406</v>
      </c>
      <c r="I232" s="5" t="s">
        <v>65</v>
      </c>
    </row>
    <row r="233" spans="2:9">
      <c r="B233" s="7" t="s">
        <v>54</v>
      </c>
      <c r="C233" s="25" t="s">
        <v>49</v>
      </c>
      <c r="D233" s="25" t="s">
        <v>48</v>
      </c>
      <c r="E233" s="7" t="s">
        <v>359</v>
      </c>
      <c r="F233" s="14">
        <v>46206</v>
      </c>
      <c r="G233" s="7" t="s">
        <v>452</v>
      </c>
      <c r="H233" s="26" t="s">
        <v>407</v>
      </c>
      <c r="I233" s="5" t="s">
        <v>65</v>
      </c>
    </row>
    <row r="234" spans="2:9">
      <c r="B234" s="7" t="s">
        <v>54</v>
      </c>
      <c r="C234" s="25" t="s">
        <v>49</v>
      </c>
      <c r="D234" s="25" t="s">
        <v>48</v>
      </c>
      <c r="E234" s="7" t="s">
        <v>479</v>
      </c>
      <c r="F234" s="14">
        <v>46206</v>
      </c>
      <c r="G234" s="7" t="s">
        <v>452</v>
      </c>
      <c r="H234" s="26" t="s">
        <v>408</v>
      </c>
      <c r="I234" s="5" t="s">
        <v>65</v>
      </c>
    </row>
    <row r="235" spans="2:9">
      <c r="B235" s="7" t="s">
        <v>54</v>
      </c>
      <c r="C235" s="25" t="s">
        <v>49</v>
      </c>
      <c r="D235" s="25" t="s">
        <v>48</v>
      </c>
      <c r="E235" s="7" t="s">
        <v>480</v>
      </c>
      <c r="F235" s="14">
        <v>46206</v>
      </c>
      <c r="G235" s="7" t="s">
        <v>453</v>
      </c>
      <c r="H235" s="26" t="s">
        <v>409</v>
      </c>
      <c r="I235" s="5" t="s">
        <v>65</v>
      </c>
    </row>
    <row r="236" spans="2:9">
      <c r="B236" s="7" t="s">
        <v>54</v>
      </c>
      <c r="C236" s="25" t="s">
        <v>49</v>
      </c>
      <c r="D236" s="25" t="s">
        <v>48</v>
      </c>
      <c r="E236" s="7" t="s">
        <v>481</v>
      </c>
      <c r="F236" s="14">
        <v>46206</v>
      </c>
      <c r="G236" s="7" t="s">
        <v>453</v>
      </c>
      <c r="H236" s="26" t="s">
        <v>410</v>
      </c>
      <c r="I236" s="5" t="s">
        <v>65</v>
      </c>
    </row>
    <row r="237" spans="2:9">
      <c r="B237" s="7" t="s">
        <v>54</v>
      </c>
      <c r="C237" s="25" t="s">
        <v>49</v>
      </c>
      <c r="D237" s="25" t="s">
        <v>48</v>
      </c>
      <c r="E237" s="7" t="s">
        <v>482</v>
      </c>
      <c r="F237" s="14">
        <v>46206</v>
      </c>
      <c r="G237" s="7" t="s">
        <v>453</v>
      </c>
      <c r="H237" s="26" t="s">
        <v>411</v>
      </c>
      <c r="I237" s="5" t="s">
        <v>65</v>
      </c>
    </row>
    <row r="238" spans="2:9">
      <c r="B238" s="7" t="s">
        <v>54</v>
      </c>
      <c r="C238" s="25" t="s">
        <v>49</v>
      </c>
      <c r="D238" s="25" t="s">
        <v>48</v>
      </c>
      <c r="E238" s="7" t="s">
        <v>352</v>
      </c>
      <c r="F238" s="14">
        <v>46206</v>
      </c>
      <c r="G238" s="7" t="s">
        <v>453</v>
      </c>
      <c r="H238" s="26" t="s">
        <v>412</v>
      </c>
      <c r="I238" s="5" t="s">
        <v>65</v>
      </c>
    </row>
    <row r="239" spans="2:9">
      <c r="B239" s="7" t="s">
        <v>54</v>
      </c>
      <c r="C239" s="25" t="s">
        <v>49</v>
      </c>
      <c r="D239" s="25" t="s">
        <v>48</v>
      </c>
      <c r="E239" s="7" t="s">
        <v>483</v>
      </c>
      <c r="F239" s="14">
        <v>46206</v>
      </c>
      <c r="G239" s="7" t="s">
        <v>453</v>
      </c>
      <c r="H239" s="26" t="s">
        <v>413</v>
      </c>
      <c r="I239" s="5" t="s">
        <v>65</v>
      </c>
    </row>
    <row r="240" spans="2:9">
      <c r="B240" s="7" t="s">
        <v>54</v>
      </c>
      <c r="C240" s="25" t="s">
        <v>49</v>
      </c>
      <c r="D240" s="25" t="s">
        <v>48</v>
      </c>
      <c r="E240" s="7" t="s">
        <v>484</v>
      </c>
      <c r="F240" s="14">
        <v>46206</v>
      </c>
      <c r="G240" s="7" t="s">
        <v>454</v>
      </c>
      <c r="H240" s="26" t="s">
        <v>414</v>
      </c>
      <c r="I240" s="5" t="s">
        <v>65</v>
      </c>
    </row>
    <row r="241" spans="2:9">
      <c r="B241" s="7" t="s">
        <v>54</v>
      </c>
      <c r="C241" s="25" t="s">
        <v>49</v>
      </c>
      <c r="D241" s="25" t="s">
        <v>48</v>
      </c>
      <c r="E241" s="7" t="s">
        <v>485</v>
      </c>
      <c r="F241" s="14">
        <v>46206</v>
      </c>
      <c r="G241" s="7" t="s">
        <v>454</v>
      </c>
      <c r="H241" s="26" t="s">
        <v>415</v>
      </c>
      <c r="I241" s="5" t="s">
        <v>65</v>
      </c>
    </row>
    <row r="242" spans="2:9">
      <c r="B242" s="7" t="s">
        <v>54</v>
      </c>
      <c r="C242" s="25" t="s">
        <v>49</v>
      </c>
      <c r="D242" s="25" t="s">
        <v>48</v>
      </c>
      <c r="E242" s="7" t="s">
        <v>352</v>
      </c>
      <c r="F242" s="14">
        <v>46206</v>
      </c>
      <c r="G242" s="7" t="s">
        <v>454</v>
      </c>
      <c r="H242" s="26" t="s">
        <v>416</v>
      </c>
      <c r="I242" s="5" t="s">
        <v>65</v>
      </c>
    </row>
    <row r="243" spans="2:9">
      <c r="B243" s="7" t="s">
        <v>54</v>
      </c>
      <c r="C243" s="25" t="s">
        <v>49</v>
      </c>
      <c r="D243" s="25" t="s">
        <v>48</v>
      </c>
      <c r="E243" s="7" t="s">
        <v>486</v>
      </c>
      <c r="F243" s="14">
        <v>46206</v>
      </c>
      <c r="G243" s="7" t="s">
        <v>455</v>
      </c>
      <c r="H243" s="26" t="s">
        <v>417</v>
      </c>
      <c r="I243" s="5" t="s">
        <v>65</v>
      </c>
    </row>
    <row r="244" spans="2:9">
      <c r="B244" s="7" t="s">
        <v>54</v>
      </c>
      <c r="C244" s="25" t="s">
        <v>49</v>
      </c>
      <c r="D244" s="25" t="s">
        <v>48</v>
      </c>
      <c r="E244" s="7" t="s">
        <v>487</v>
      </c>
      <c r="F244" s="14">
        <v>46206</v>
      </c>
      <c r="G244" s="7" t="s">
        <v>455</v>
      </c>
      <c r="H244" s="26" t="s">
        <v>418</v>
      </c>
      <c r="I244" s="5" t="s">
        <v>65</v>
      </c>
    </row>
    <row r="245" spans="2:9">
      <c r="B245" s="7" t="s">
        <v>54</v>
      </c>
      <c r="C245" s="25" t="s">
        <v>49</v>
      </c>
      <c r="D245" s="25" t="s">
        <v>48</v>
      </c>
      <c r="E245" s="7" t="s">
        <v>488</v>
      </c>
      <c r="F245" s="14">
        <v>46206</v>
      </c>
      <c r="G245" s="7" t="s">
        <v>455</v>
      </c>
      <c r="H245" s="26" t="s">
        <v>419</v>
      </c>
      <c r="I245" s="5" t="s">
        <v>65</v>
      </c>
    </row>
    <row r="246" spans="2:9">
      <c r="B246" s="7" t="s">
        <v>54</v>
      </c>
      <c r="C246" s="25" t="s">
        <v>49</v>
      </c>
      <c r="D246" s="25" t="s">
        <v>48</v>
      </c>
      <c r="E246" s="7" t="s">
        <v>489</v>
      </c>
      <c r="F246" s="14">
        <v>46206</v>
      </c>
      <c r="G246" s="7" t="s">
        <v>455</v>
      </c>
      <c r="H246" s="26" t="s">
        <v>420</v>
      </c>
      <c r="I246" s="5" t="s">
        <v>65</v>
      </c>
    </row>
    <row r="247" spans="2:9">
      <c r="B247" s="7" t="s">
        <v>54</v>
      </c>
      <c r="C247" s="25" t="s">
        <v>49</v>
      </c>
      <c r="D247" s="25" t="s">
        <v>48</v>
      </c>
      <c r="E247" s="7" t="s">
        <v>354</v>
      </c>
      <c r="F247" s="14">
        <v>46206</v>
      </c>
      <c r="G247" s="7" t="s">
        <v>456</v>
      </c>
      <c r="H247" s="26" t="s">
        <v>421</v>
      </c>
      <c r="I247" s="5" t="s">
        <v>65</v>
      </c>
    </row>
    <row r="248" spans="2:9">
      <c r="B248" s="7" t="s">
        <v>54</v>
      </c>
      <c r="C248" s="25" t="s">
        <v>49</v>
      </c>
      <c r="D248" s="25" t="s">
        <v>48</v>
      </c>
      <c r="E248" s="7" t="s">
        <v>490</v>
      </c>
      <c r="F248" s="14">
        <v>46206</v>
      </c>
      <c r="G248" s="7" t="s">
        <v>456</v>
      </c>
      <c r="H248" s="26" t="s">
        <v>422</v>
      </c>
      <c r="I248" s="5" t="s">
        <v>65</v>
      </c>
    </row>
    <row r="249" spans="2:9">
      <c r="B249" s="7" t="s">
        <v>54</v>
      </c>
      <c r="C249" s="25" t="s">
        <v>49</v>
      </c>
      <c r="D249" s="25" t="s">
        <v>48</v>
      </c>
      <c r="E249" s="7" t="s">
        <v>352</v>
      </c>
      <c r="F249" s="14">
        <v>46206</v>
      </c>
      <c r="G249" s="7" t="s">
        <v>456</v>
      </c>
      <c r="H249" s="26" t="s">
        <v>423</v>
      </c>
      <c r="I249" s="5" t="s">
        <v>65</v>
      </c>
    </row>
    <row r="250" spans="2:9">
      <c r="B250" s="7" t="s">
        <v>54</v>
      </c>
      <c r="C250" s="25" t="s">
        <v>49</v>
      </c>
      <c r="D250" s="25" t="s">
        <v>48</v>
      </c>
      <c r="E250" s="7" t="s">
        <v>491</v>
      </c>
      <c r="F250" s="14">
        <v>46206</v>
      </c>
      <c r="G250" s="7" t="s">
        <v>456</v>
      </c>
      <c r="H250" s="26" t="s">
        <v>424</v>
      </c>
      <c r="I250" s="5" t="s">
        <v>65</v>
      </c>
    </row>
    <row r="251" spans="2:9">
      <c r="B251" s="7" t="s">
        <v>54</v>
      </c>
      <c r="C251" s="25" t="s">
        <v>49</v>
      </c>
      <c r="D251" s="25" t="s">
        <v>48</v>
      </c>
      <c r="E251" s="7" t="s">
        <v>352</v>
      </c>
      <c r="F251" s="14">
        <v>46206</v>
      </c>
      <c r="G251" s="7" t="s">
        <v>456</v>
      </c>
      <c r="H251" s="26" t="s">
        <v>425</v>
      </c>
      <c r="I251" s="5" t="s">
        <v>65</v>
      </c>
    </row>
    <row r="252" spans="2:9">
      <c r="B252" s="7" t="s">
        <v>54</v>
      </c>
      <c r="C252" s="25" t="s">
        <v>49</v>
      </c>
      <c r="D252" s="25" t="s">
        <v>48</v>
      </c>
      <c r="E252" s="7" t="s">
        <v>492</v>
      </c>
      <c r="F252" s="14">
        <v>46206</v>
      </c>
      <c r="G252" s="7" t="s">
        <v>457</v>
      </c>
      <c r="H252" s="26" t="s">
        <v>426</v>
      </c>
      <c r="I252" s="5" t="s">
        <v>65</v>
      </c>
    </row>
    <row r="253" spans="2:9">
      <c r="B253" s="7" t="s">
        <v>54</v>
      </c>
      <c r="C253" s="25" t="s">
        <v>49</v>
      </c>
      <c r="D253" s="25" t="s">
        <v>48</v>
      </c>
      <c r="E253" s="7" t="s">
        <v>493</v>
      </c>
      <c r="F253" s="14">
        <v>46206</v>
      </c>
      <c r="G253" s="7" t="s">
        <v>457</v>
      </c>
      <c r="H253" s="26" t="s">
        <v>427</v>
      </c>
      <c r="I253" s="5" t="s">
        <v>65</v>
      </c>
    </row>
    <row r="254" spans="2:9">
      <c r="B254" s="7" t="s">
        <v>54</v>
      </c>
      <c r="C254" s="25" t="s">
        <v>49</v>
      </c>
      <c r="D254" s="25" t="s">
        <v>48</v>
      </c>
      <c r="E254" s="7" t="s">
        <v>494</v>
      </c>
      <c r="F254" s="14">
        <v>46206</v>
      </c>
      <c r="G254" s="7" t="s">
        <v>458</v>
      </c>
      <c r="H254" s="26" t="s">
        <v>428</v>
      </c>
      <c r="I254" s="5" t="s">
        <v>65</v>
      </c>
    </row>
    <row r="255" spans="2:9">
      <c r="B255" s="7" t="s">
        <v>54</v>
      </c>
      <c r="C255" s="25" t="s">
        <v>49</v>
      </c>
      <c r="D255" s="25" t="s">
        <v>48</v>
      </c>
      <c r="E255" s="7" t="s">
        <v>495</v>
      </c>
      <c r="F255" s="14">
        <v>46206</v>
      </c>
      <c r="G255" s="7" t="s">
        <v>458</v>
      </c>
      <c r="H255" s="26" t="s">
        <v>429</v>
      </c>
      <c r="I255" s="5" t="s">
        <v>65</v>
      </c>
    </row>
    <row r="256" spans="2:9">
      <c r="B256" s="7" t="s">
        <v>54</v>
      </c>
      <c r="C256" s="25" t="s">
        <v>49</v>
      </c>
      <c r="D256" s="25" t="s">
        <v>48</v>
      </c>
      <c r="E256" s="7" t="s">
        <v>373</v>
      </c>
      <c r="F256" s="14">
        <v>46206</v>
      </c>
      <c r="G256" s="2" t="s">
        <v>458</v>
      </c>
      <c r="H256" s="26" t="s">
        <v>430</v>
      </c>
      <c r="I256" s="5" t="s">
        <v>65</v>
      </c>
    </row>
    <row r="257" spans="2:9">
      <c r="B257" s="7" t="s">
        <v>54</v>
      </c>
      <c r="C257" s="25" t="s">
        <v>49</v>
      </c>
      <c r="D257" s="25" t="s">
        <v>48</v>
      </c>
      <c r="E257" s="7" t="s">
        <v>496</v>
      </c>
      <c r="F257" s="14">
        <v>46206</v>
      </c>
      <c r="G257" s="2" t="s">
        <v>458</v>
      </c>
      <c r="H257" s="26" t="s">
        <v>431</v>
      </c>
      <c r="I257" s="5" t="s">
        <v>65</v>
      </c>
    </row>
    <row r="258" spans="2:9">
      <c r="B258" s="7" t="s">
        <v>54</v>
      </c>
      <c r="C258" s="25" t="s">
        <v>49</v>
      </c>
      <c r="D258" s="25" t="s">
        <v>48</v>
      </c>
      <c r="E258" s="7" t="s">
        <v>497</v>
      </c>
      <c r="F258" s="14">
        <v>46206</v>
      </c>
      <c r="G258" s="2" t="s">
        <v>458</v>
      </c>
      <c r="H258" s="26" t="s">
        <v>432</v>
      </c>
      <c r="I258" s="5" t="s">
        <v>65</v>
      </c>
    </row>
    <row r="259" spans="2:9">
      <c r="B259" s="7" t="s">
        <v>54</v>
      </c>
      <c r="C259" s="25" t="s">
        <v>49</v>
      </c>
      <c r="D259" s="25" t="s">
        <v>48</v>
      </c>
      <c r="E259" s="7" t="s">
        <v>488</v>
      </c>
      <c r="F259" s="14">
        <v>46206</v>
      </c>
      <c r="G259" s="2" t="s">
        <v>459</v>
      </c>
      <c r="H259" s="26" t="s">
        <v>433</v>
      </c>
      <c r="I259" s="5" t="s">
        <v>65</v>
      </c>
    </row>
    <row r="260" spans="2:9">
      <c r="B260" s="7" t="s">
        <v>54</v>
      </c>
      <c r="C260" s="25" t="s">
        <v>49</v>
      </c>
      <c r="D260" s="25" t="s">
        <v>48</v>
      </c>
      <c r="E260" s="7" t="s">
        <v>498</v>
      </c>
      <c r="F260" s="14">
        <v>46206</v>
      </c>
      <c r="G260" s="2" t="s">
        <v>459</v>
      </c>
      <c r="H260" s="26" t="s">
        <v>434</v>
      </c>
      <c r="I260" s="5" t="s">
        <v>65</v>
      </c>
    </row>
    <row r="261" spans="2:9">
      <c r="B261" s="7" t="s">
        <v>54</v>
      </c>
      <c r="C261" s="25" t="s">
        <v>49</v>
      </c>
      <c r="D261" s="25" t="s">
        <v>48</v>
      </c>
      <c r="E261" s="7" t="s">
        <v>499</v>
      </c>
      <c r="F261" s="14">
        <v>46206</v>
      </c>
      <c r="G261" s="2" t="s">
        <v>459</v>
      </c>
      <c r="H261" s="26" t="s">
        <v>435</v>
      </c>
      <c r="I261" s="5" t="s">
        <v>65</v>
      </c>
    </row>
    <row r="262" spans="2:9">
      <c r="B262" s="7" t="s">
        <v>54</v>
      </c>
      <c r="C262" s="25" t="s">
        <v>49</v>
      </c>
      <c r="D262" s="25" t="s">
        <v>48</v>
      </c>
      <c r="E262" s="7" t="s">
        <v>352</v>
      </c>
      <c r="F262" s="14">
        <v>46206</v>
      </c>
      <c r="G262" s="2" t="s">
        <v>459</v>
      </c>
      <c r="H262" s="26" t="s">
        <v>436</v>
      </c>
      <c r="I262" s="5" t="s">
        <v>65</v>
      </c>
    </row>
    <row r="263" spans="2:9">
      <c r="B263" s="7" t="s">
        <v>54</v>
      </c>
      <c r="C263" s="25" t="s">
        <v>49</v>
      </c>
      <c r="D263" s="25" t="s">
        <v>48</v>
      </c>
      <c r="E263" s="7" t="s">
        <v>500</v>
      </c>
      <c r="F263" s="14">
        <v>46206</v>
      </c>
      <c r="G263" s="2" t="s">
        <v>459</v>
      </c>
      <c r="H263" s="26" t="s">
        <v>437</v>
      </c>
      <c r="I263" s="5" t="s">
        <v>65</v>
      </c>
    </row>
    <row r="264" spans="2:9">
      <c r="B264" s="7" t="s">
        <v>54</v>
      </c>
      <c r="C264" s="25" t="s">
        <v>49</v>
      </c>
      <c r="D264" s="25" t="s">
        <v>48</v>
      </c>
      <c r="E264" s="7" t="s">
        <v>352</v>
      </c>
      <c r="F264" s="14">
        <v>46206</v>
      </c>
      <c r="G264" s="2" t="s">
        <v>460</v>
      </c>
      <c r="H264" s="26" t="s">
        <v>438</v>
      </c>
      <c r="I264" s="5" t="s">
        <v>65</v>
      </c>
    </row>
    <row r="265" spans="2:9">
      <c r="B265" s="7" t="s">
        <v>54</v>
      </c>
      <c r="C265" s="25" t="s">
        <v>49</v>
      </c>
      <c r="D265" s="25" t="s">
        <v>48</v>
      </c>
      <c r="E265" s="7" t="s">
        <v>501</v>
      </c>
      <c r="F265" s="14">
        <v>46206</v>
      </c>
      <c r="G265" s="2" t="s">
        <v>460</v>
      </c>
      <c r="H265" s="26" t="s">
        <v>439</v>
      </c>
      <c r="I265" s="5" t="s">
        <v>65</v>
      </c>
    </row>
    <row r="266" spans="2:9">
      <c r="B266" s="7" t="s">
        <v>54</v>
      </c>
      <c r="C266" s="25" t="s">
        <v>49</v>
      </c>
      <c r="D266" s="25" t="s">
        <v>48</v>
      </c>
      <c r="E266" s="7" t="s">
        <v>259</v>
      </c>
      <c r="F266" s="14">
        <v>46206</v>
      </c>
      <c r="G266" s="2" t="s">
        <v>460</v>
      </c>
      <c r="H266" s="26" t="s">
        <v>440</v>
      </c>
      <c r="I266" s="5" t="s">
        <v>65</v>
      </c>
    </row>
    <row r="267" spans="2:9">
      <c r="B267" s="7" t="s">
        <v>54</v>
      </c>
      <c r="C267" s="25" t="s">
        <v>49</v>
      </c>
      <c r="D267" s="25" t="s">
        <v>48</v>
      </c>
      <c r="E267" s="7" t="s">
        <v>352</v>
      </c>
      <c r="F267" s="14">
        <v>46206</v>
      </c>
      <c r="G267" s="2" t="s">
        <v>461</v>
      </c>
      <c r="H267" s="26" t="s">
        <v>441</v>
      </c>
      <c r="I267" s="5" t="s">
        <v>65</v>
      </c>
    </row>
    <row r="268" spans="2:9">
      <c r="B268" s="7" t="s">
        <v>54</v>
      </c>
      <c r="C268" s="25" t="s">
        <v>49</v>
      </c>
      <c r="D268" s="25" t="s">
        <v>48</v>
      </c>
      <c r="E268" s="7" t="s">
        <v>502</v>
      </c>
      <c r="F268" s="14">
        <v>46206</v>
      </c>
      <c r="G268" s="2" t="s">
        <v>400</v>
      </c>
      <c r="H268" s="26" t="s">
        <v>442</v>
      </c>
      <c r="I268" s="5" t="s">
        <v>65</v>
      </c>
    </row>
    <row r="269" spans="2:9">
      <c r="B269" s="7" t="s">
        <v>54</v>
      </c>
      <c r="C269" s="25" t="s">
        <v>49</v>
      </c>
      <c r="D269" s="25" t="s">
        <v>48</v>
      </c>
      <c r="E269" s="7" t="s">
        <v>503</v>
      </c>
      <c r="F269" s="14">
        <v>46206</v>
      </c>
      <c r="G269" s="2" t="s">
        <v>400</v>
      </c>
      <c r="H269" s="26" t="s">
        <v>443</v>
      </c>
      <c r="I269" s="5" t="s">
        <v>65</v>
      </c>
    </row>
    <row r="270" spans="2:9">
      <c r="B270" s="7" t="s">
        <v>54</v>
      </c>
      <c r="C270" s="25" t="s">
        <v>49</v>
      </c>
      <c r="D270" s="25" t="s">
        <v>48</v>
      </c>
      <c r="E270" s="7" t="s">
        <v>359</v>
      </c>
      <c r="F270" s="14">
        <v>46206</v>
      </c>
      <c r="G270" s="2" t="s">
        <v>400</v>
      </c>
      <c r="H270" s="26" t="s">
        <v>444</v>
      </c>
      <c r="I270" s="5" t="s">
        <v>65</v>
      </c>
    </row>
    <row r="271" spans="2:9">
      <c r="B271" s="7" t="s">
        <v>54</v>
      </c>
      <c r="C271" s="25" t="s">
        <v>507</v>
      </c>
      <c r="D271" s="25" t="s">
        <v>506</v>
      </c>
      <c r="E271" s="65">
        <v>92701</v>
      </c>
      <c r="F271" s="14">
        <v>46217</v>
      </c>
      <c r="G271" s="7" t="s">
        <v>505</v>
      </c>
      <c r="H271" s="26" t="s">
        <v>504</v>
      </c>
      <c r="I271" s="5" t="s">
        <v>65</v>
      </c>
    </row>
    <row r="272" spans="2:9">
      <c r="B272" s="7" t="s">
        <v>54</v>
      </c>
      <c r="C272" s="25" t="s">
        <v>141</v>
      </c>
      <c r="D272" s="25" t="s">
        <v>111</v>
      </c>
      <c r="E272" s="65">
        <v>146753.48000000001</v>
      </c>
      <c r="F272" s="14">
        <v>46217</v>
      </c>
      <c r="G272" s="7" t="s">
        <v>448</v>
      </c>
      <c r="H272" s="26" t="s">
        <v>509</v>
      </c>
      <c r="I272" s="5" t="s">
        <v>65</v>
      </c>
    </row>
    <row r="273" spans="2:9">
      <c r="B273" s="7" t="s">
        <v>54</v>
      </c>
      <c r="C273" s="25" t="s">
        <v>141</v>
      </c>
      <c r="D273" s="25" t="s">
        <v>111</v>
      </c>
      <c r="E273" s="65">
        <v>10942.64</v>
      </c>
      <c r="F273" s="14">
        <v>46217</v>
      </c>
      <c r="G273" s="7" t="s">
        <v>448</v>
      </c>
      <c r="H273" s="26" t="s">
        <v>510</v>
      </c>
      <c r="I273" s="5" t="s">
        <v>65</v>
      </c>
    </row>
    <row r="274" spans="2:9">
      <c r="B274" s="7" t="s">
        <v>54</v>
      </c>
      <c r="C274" s="25" t="s">
        <v>141</v>
      </c>
      <c r="D274" s="25" t="s">
        <v>111</v>
      </c>
      <c r="E274" s="65">
        <v>13805.9</v>
      </c>
      <c r="F274" s="14">
        <v>46217</v>
      </c>
      <c r="G274" s="7" t="s">
        <v>448</v>
      </c>
      <c r="H274" s="26" t="s">
        <v>511</v>
      </c>
      <c r="I274" s="5" t="s">
        <v>65</v>
      </c>
    </row>
    <row r="275" spans="2:9">
      <c r="B275" s="7" t="s">
        <v>54</v>
      </c>
      <c r="C275" s="25" t="s">
        <v>141</v>
      </c>
      <c r="D275" s="25" t="s">
        <v>111</v>
      </c>
      <c r="E275" s="65">
        <v>38008.700000000004</v>
      </c>
      <c r="F275" s="14">
        <v>46217</v>
      </c>
      <c r="G275" s="7" t="s">
        <v>448</v>
      </c>
      <c r="H275" s="26" t="s">
        <v>513</v>
      </c>
      <c r="I275" s="5" t="s">
        <v>65</v>
      </c>
    </row>
    <row r="276" spans="2:9">
      <c r="B276" s="7" t="s">
        <v>54</v>
      </c>
      <c r="C276" s="25" t="s">
        <v>141</v>
      </c>
      <c r="D276" s="25" t="s">
        <v>111</v>
      </c>
      <c r="E276" s="65">
        <v>12305.08</v>
      </c>
      <c r="F276" s="14">
        <v>46217</v>
      </c>
      <c r="G276" s="7" t="s">
        <v>448</v>
      </c>
      <c r="H276" s="26" t="s">
        <v>514</v>
      </c>
      <c r="I276" s="5" t="s">
        <v>65</v>
      </c>
    </row>
    <row r="277" spans="2:9">
      <c r="B277" s="7" t="s">
        <v>54</v>
      </c>
      <c r="C277" s="25" t="s">
        <v>141</v>
      </c>
      <c r="D277" s="25" t="s">
        <v>111</v>
      </c>
      <c r="E277" s="65">
        <v>15885.26</v>
      </c>
      <c r="F277" s="14">
        <v>46217</v>
      </c>
      <c r="G277" s="7" t="s">
        <v>448</v>
      </c>
      <c r="H277" s="26" t="s">
        <v>515</v>
      </c>
      <c r="I277" s="5" t="s">
        <v>65</v>
      </c>
    </row>
    <row r="278" spans="2:9">
      <c r="B278" s="7" t="s">
        <v>54</v>
      </c>
      <c r="C278" s="25" t="s">
        <v>507</v>
      </c>
      <c r="D278" s="25" t="s">
        <v>506</v>
      </c>
      <c r="E278" s="65">
        <v>122477.4</v>
      </c>
      <c r="F278" s="14">
        <v>46217</v>
      </c>
      <c r="G278" s="7" t="s">
        <v>505</v>
      </c>
      <c r="H278" s="26" t="s">
        <v>516</v>
      </c>
      <c r="I278" s="5" t="s">
        <v>65</v>
      </c>
    </row>
    <row r="279" spans="2:9">
      <c r="B279" s="7" t="s">
        <v>54</v>
      </c>
      <c r="C279" s="25" t="s">
        <v>141</v>
      </c>
      <c r="D279" s="25" t="s">
        <v>111</v>
      </c>
      <c r="E279" s="65">
        <v>13399.85</v>
      </c>
      <c r="F279" s="14">
        <v>46217</v>
      </c>
      <c r="G279" s="7" t="s">
        <v>448</v>
      </c>
      <c r="H279" s="26" t="s">
        <v>517</v>
      </c>
      <c r="I279" s="5" t="s">
        <v>65</v>
      </c>
    </row>
    <row r="280" spans="2:9">
      <c r="B280" s="7" t="s">
        <v>54</v>
      </c>
      <c r="C280" s="25" t="s">
        <v>141</v>
      </c>
      <c r="D280" s="25" t="s">
        <v>111</v>
      </c>
      <c r="E280" s="65">
        <v>12305.08</v>
      </c>
      <c r="F280" s="14">
        <v>46217</v>
      </c>
      <c r="G280" s="7" t="s">
        <v>448</v>
      </c>
      <c r="H280" s="26" t="s">
        <v>518</v>
      </c>
      <c r="I280" s="5" t="s">
        <v>65</v>
      </c>
    </row>
    <row r="281" spans="2:9">
      <c r="B281" s="7" t="s">
        <v>54</v>
      </c>
      <c r="C281" s="25" t="s">
        <v>141</v>
      </c>
      <c r="D281" s="25" t="s">
        <v>111</v>
      </c>
      <c r="E281" s="65">
        <v>19383.48</v>
      </c>
      <c r="F281" s="14">
        <v>46217</v>
      </c>
      <c r="G281" s="7" t="s">
        <v>448</v>
      </c>
      <c r="H281" s="26" t="s">
        <v>519</v>
      </c>
      <c r="I281" s="5" t="s">
        <v>65</v>
      </c>
    </row>
    <row r="282" spans="2:9">
      <c r="B282" s="7" t="s">
        <v>54</v>
      </c>
      <c r="C282" s="25" t="s">
        <v>141</v>
      </c>
      <c r="D282" s="25" t="s">
        <v>111</v>
      </c>
      <c r="E282" s="65">
        <v>56092.37</v>
      </c>
      <c r="F282" s="14">
        <v>46217</v>
      </c>
      <c r="G282" s="7" t="s">
        <v>448</v>
      </c>
      <c r="H282" s="26" t="s">
        <v>520</v>
      </c>
      <c r="I282" s="5" t="s">
        <v>65</v>
      </c>
    </row>
    <row r="283" spans="2:9">
      <c r="B283" s="7" t="s">
        <v>54</v>
      </c>
      <c r="C283" s="25" t="s">
        <v>507</v>
      </c>
      <c r="D283" s="25" t="s">
        <v>506</v>
      </c>
      <c r="E283" s="65">
        <v>112565.5</v>
      </c>
      <c r="F283" s="14">
        <v>46217</v>
      </c>
      <c r="G283" s="7" t="s">
        <v>505</v>
      </c>
      <c r="H283" s="26" t="s">
        <v>521</v>
      </c>
      <c r="I283" s="5" t="s">
        <v>65</v>
      </c>
    </row>
    <row r="284" spans="2:9">
      <c r="B284" s="7" t="s">
        <v>54</v>
      </c>
      <c r="C284" s="25" t="s">
        <v>141</v>
      </c>
      <c r="D284" s="25" t="s">
        <v>111</v>
      </c>
      <c r="E284" s="65">
        <v>7111.42</v>
      </c>
      <c r="F284" s="14">
        <v>46217</v>
      </c>
      <c r="G284" s="7" t="s">
        <v>448</v>
      </c>
      <c r="H284" s="26" t="s">
        <v>522</v>
      </c>
      <c r="I284" s="5" t="s">
        <v>65</v>
      </c>
    </row>
    <row r="285" spans="2:9">
      <c r="B285" s="7" t="s">
        <v>54</v>
      </c>
      <c r="C285" s="25" t="s">
        <v>141</v>
      </c>
      <c r="D285" s="25" t="s">
        <v>111</v>
      </c>
      <c r="E285" s="65">
        <v>35781.660000000003</v>
      </c>
      <c r="F285" s="14">
        <v>46217</v>
      </c>
      <c r="G285" s="7" t="s">
        <v>448</v>
      </c>
      <c r="H285" s="26" t="s">
        <v>523</v>
      </c>
      <c r="I285" s="5" t="s">
        <v>65</v>
      </c>
    </row>
    <row r="286" spans="2:9">
      <c r="B286" s="7" t="s">
        <v>54</v>
      </c>
      <c r="C286" s="25" t="s">
        <v>141</v>
      </c>
      <c r="D286" s="25" t="s">
        <v>111</v>
      </c>
      <c r="E286" s="65">
        <v>46677.64</v>
      </c>
      <c r="F286" s="14">
        <v>46217</v>
      </c>
      <c r="G286" s="7" t="s">
        <v>448</v>
      </c>
      <c r="H286" s="26" t="s">
        <v>524</v>
      </c>
      <c r="I286" s="5" t="s">
        <v>65</v>
      </c>
    </row>
    <row r="287" spans="2:9">
      <c r="B287" s="7" t="s">
        <v>54</v>
      </c>
      <c r="C287" s="25" t="s">
        <v>527</v>
      </c>
      <c r="D287" s="25" t="s">
        <v>526</v>
      </c>
      <c r="E287" s="7" t="s">
        <v>610</v>
      </c>
      <c r="F287" s="14">
        <v>46223</v>
      </c>
      <c r="G287" s="7" t="s">
        <v>452</v>
      </c>
      <c r="H287" s="26" t="s">
        <v>525</v>
      </c>
      <c r="I287" s="5" t="s">
        <v>65</v>
      </c>
    </row>
    <row r="288" spans="2:9">
      <c r="B288" s="7" t="s">
        <v>54</v>
      </c>
      <c r="C288" s="25" t="s">
        <v>527</v>
      </c>
      <c r="D288" s="25" t="s">
        <v>526</v>
      </c>
      <c r="E288" s="7" t="s">
        <v>611</v>
      </c>
      <c r="F288" s="14">
        <v>46223</v>
      </c>
      <c r="G288" s="7" t="s">
        <v>452</v>
      </c>
      <c r="H288" s="26" t="s">
        <v>528</v>
      </c>
      <c r="I288" s="5" t="s">
        <v>65</v>
      </c>
    </row>
    <row r="289" spans="2:9">
      <c r="B289" s="7" t="s">
        <v>54</v>
      </c>
      <c r="C289" s="25" t="s">
        <v>527</v>
      </c>
      <c r="D289" s="25" t="s">
        <v>526</v>
      </c>
      <c r="E289" s="7" t="s">
        <v>612</v>
      </c>
      <c r="F289" s="14">
        <v>46223</v>
      </c>
      <c r="G289" s="7" t="s">
        <v>453</v>
      </c>
      <c r="H289" s="26" t="s">
        <v>529</v>
      </c>
      <c r="I289" s="5" t="s">
        <v>65</v>
      </c>
    </row>
    <row r="290" spans="2:9">
      <c r="B290" s="7" t="s">
        <v>54</v>
      </c>
      <c r="C290" s="25" t="s">
        <v>49</v>
      </c>
      <c r="D290" s="25" t="s">
        <v>48</v>
      </c>
      <c r="E290" s="7" t="s">
        <v>352</v>
      </c>
      <c r="F290" s="14">
        <v>46223</v>
      </c>
      <c r="G290" s="7" t="s">
        <v>531</v>
      </c>
      <c r="H290" s="26" t="s">
        <v>530</v>
      </c>
      <c r="I290" s="5" t="s">
        <v>65</v>
      </c>
    </row>
    <row r="291" spans="2:9">
      <c r="B291" s="7" t="s">
        <v>54</v>
      </c>
      <c r="C291" s="25" t="s">
        <v>49</v>
      </c>
      <c r="D291" s="25" t="s">
        <v>48</v>
      </c>
      <c r="E291" s="7" t="s">
        <v>613</v>
      </c>
      <c r="F291" s="14">
        <v>46223</v>
      </c>
      <c r="G291" s="7" t="s">
        <v>531</v>
      </c>
      <c r="H291" s="26" t="s">
        <v>532</v>
      </c>
      <c r="I291" s="5" t="s">
        <v>65</v>
      </c>
    </row>
    <row r="292" spans="2:9">
      <c r="B292" s="7" t="s">
        <v>54</v>
      </c>
      <c r="C292" s="25" t="s">
        <v>49</v>
      </c>
      <c r="D292" s="25" t="s">
        <v>48</v>
      </c>
      <c r="E292" s="7" t="s">
        <v>614</v>
      </c>
      <c r="F292" s="14">
        <v>46223</v>
      </c>
      <c r="G292" s="7" t="s">
        <v>531</v>
      </c>
      <c r="H292" s="26" t="s">
        <v>533</v>
      </c>
      <c r="I292" s="5" t="s">
        <v>65</v>
      </c>
    </row>
    <row r="293" spans="2:9">
      <c r="B293" s="7" t="s">
        <v>54</v>
      </c>
      <c r="C293" s="25" t="s">
        <v>49</v>
      </c>
      <c r="D293" s="25" t="s">
        <v>48</v>
      </c>
      <c r="E293" s="7" t="s">
        <v>352</v>
      </c>
      <c r="F293" s="14">
        <v>46223</v>
      </c>
      <c r="G293" s="7" t="s">
        <v>531</v>
      </c>
      <c r="H293" s="26" t="s">
        <v>534</v>
      </c>
      <c r="I293" s="5" t="s">
        <v>65</v>
      </c>
    </row>
    <row r="294" spans="2:9">
      <c r="B294" s="7" t="s">
        <v>54</v>
      </c>
      <c r="C294" s="25" t="s">
        <v>49</v>
      </c>
      <c r="D294" s="25" t="s">
        <v>48</v>
      </c>
      <c r="E294" s="7" t="s">
        <v>615</v>
      </c>
      <c r="F294" s="14">
        <v>46223</v>
      </c>
      <c r="G294" s="7" t="s">
        <v>536</v>
      </c>
      <c r="H294" s="26" t="s">
        <v>535</v>
      </c>
      <c r="I294" s="5" t="s">
        <v>65</v>
      </c>
    </row>
    <row r="295" spans="2:9">
      <c r="B295" s="7" t="s">
        <v>54</v>
      </c>
      <c r="C295" s="25" t="s">
        <v>49</v>
      </c>
      <c r="D295" s="25" t="s">
        <v>48</v>
      </c>
      <c r="E295" s="7" t="s">
        <v>616</v>
      </c>
      <c r="F295" s="14">
        <v>46223</v>
      </c>
      <c r="G295" s="7" t="s">
        <v>536</v>
      </c>
      <c r="H295" s="26" t="s">
        <v>537</v>
      </c>
      <c r="I295" s="5" t="s">
        <v>65</v>
      </c>
    </row>
    <row r="296" spans="2:9">
      <c r="B296" s="7" t="s">
        <v>54</v>
      </c>
      <c r="C296" s="25" t="s">
        <v>49</v>
      </c>
      <c r="D296" s="25" t="s">
        <v>48</v>
      </c>
      <c r="E296" s="7" t="s">
        <v>352</v>
      </c>
      <c r="F296" s="14">
        <v>46223</v>
      </c>
      <c r="G296" s="7" t="s">
        <v>539</v>
      </c>
      <c r="H296" s="26" t="s">
        <v>538</v>
      </c>
      <c r="I296" s="5" t="s">
        <v>65</v>
      </c>
    </row>
    <row r="297" spans="2:9">
      <c r="B297" s="7" t="s">
        <v>54</v>
      </c>
      <c r="C297" s="25" t="s">
        <v>49</v>
      </c>
      <c r="D297" s="25" t="s">
        <v>48</v>
      </c>
      <c r="E297" s="7" t="s">
        <v>617</v>
      </c>
      <c r="F297" s="14">
        <v>46223</v>
      </c>
      <c r="G297" s="7" t="s">
        <v>539</v>
      </c>
      <c r="H297" s="26" t="s">
        <v>540</v>
      </c>
      <c r="I297" s="5" t="s">
        <v>65</v>
      </c>
    </row>
    <row r="298" spans="2:9">
      <c r="B298" s="7" t="s">
        <v>54</v>
      </c>
      <c r="C298" s="25" t="s">
        <v>49</v>
      </c>
      <c r="D298" s="25" t="s">
        <v>48</v>
      </c>
      <c r="E298" s="7" t="s">
        <v>618</v>
      </c>
      <c r="F298" s="14">
        <v>46223</v>
      </c>
      <c r="G298" s="7" t="s">
        <v>542</v>
      </c>
      <c r="H298" s="26" t="s">
        <v>541</v>
      </c>
      <c r="I298" s="5" t="s">
        <v>65</v>
      </c>
    </row>
    <row r="299" spans="2:9">
      <c r="B299" s="7" t="s">
        <v>54</v>
      </c>
      <c r="C299" s="25" t="s">
        <v>49</v>
      </c>
      <c r="D299" s="25" t="s">
        <v>48</v>
      </c>
      <c r="E299" s="7" t="s">
        <v>619</v>
      </c>
      <c r="F299" s="14">
        <v>46223</v>
      </c>
      <c r="G299" s="7" t="s">
        <v>539</v>
      </c>
      <c r="H299" s="26" t="s">
        <v>543</v>
      </c>
      <c r="I299" s="5" t="s">
        <v>65</v>
      </c>
    </row>
    <row r="300" spans="2:9">
      <c r="B300" s="7" t="s">
        <v>54</v>
      </c>
      <c r="C300" s="25" t="s">
        <v>141</v>
      </c>
      <c r="D300" s="25" t="s">
        <v>111</v>
      </c>
      <c r="E300" s="7" t="s">
        <v>620</v>
      </c>
      <c r="F300" s="14">
        <v>46223</v>
      </c>
      <c r="G300" s="7" t="s">
        <v>545</v>
      </c>
      <c r="H300" s="26" t="s">
        <v>544</v>
      </c>
      <c r="I300" s="5" t="s">
        <v>65</v>
      </c>
    </row>
    <row r="301" spans="2:9">
      <c r="B301" s="7" t="s">
        <v>54</v>
      </c>
      <c r="C301" s="25" t="s">
        <v>141</v>
      </c>
      <c r="D301" s="25" t="s">
        <v>111</v>
      </c>
      <c r="E301" s="7" t="s">
        <v>621</v>
      </c>
      <c r="F301" s="14">
        <v>46223</v>
      </c>
      <c r="G301" s="7" t="s">
        <v>545</v>
      </c>
      <c r="H301" s="26" t="s">
        <v>546</v>
      </c>
      <c r="I301" s="5" t="s">
        <v>65</v>
      </c>
    </row>
    <row r="302" spans="2:9">
      <c r="B302" s="7" t="s">
        <v>54</v>
      </c>
      <c r="C302" s="25" t="s">
        <v>141</v>
      </c>
      <c r="D302" s="25" t="s">
        <v>111</v>
      </c>
      <c r="E302" s="7" t="s">
        <v>622</v>
      </c>
      <c r="F302" s="14">
        <v>46223</v>
      </c>
      <c r="G302" s="7" t="s">
        <v>545</v>
      </c>
      <c r="H302" s="26" t="s">
        <v>547</v>
      </c>
      <c r="I302" s="5" t="s">
        <v>65</v>
      </c>
    </row>
    <row r="303" spans="2:9">
      <c r="B303" s="7" t="s">
        <v>54</v>
      </c>
      <c r="C303" s="25" t="s">
        <v>49</v>
      </c>
      <c r="D303" s="25" t="s">
        <v>55</v>
      </c>
      <c r="E303" s="7" t="s">
        <v>623</v>
      </c>
      <c r="F303" s="14">
        <v>46223</v>
      </c>
      <c r="G303" s="7" t="s">
        <v>549</v>
      </c>
      <c r="H303" s="26" t="s">
        <v>548</v>
      </c>
      <c r="I303" s="5" t="s">
        <v>65</v>
      </c>
    </row>
    <row r="304" spans="2:9">
      <c r="B304" s="7" t="s">
        <v>54</v>
      </c>
      <c r="C304" s="25" t="s">
        <v>49</v>
      </c>
      <c r="D304" s="25" t="s">
        <v>55</v>
      </c>
      <c r="E304" s="7" t="s">
        <v>624</v>
      </c>
      <c r="F304" s="14">
        <v>46223</v>
      </c>
      <c r="G304" s="7" t="s">
        <v>549</v>
      </c>
      <c r="H304" s="26" t="s">
        <v>550</v>
      </c>
      <c r="I304" s="5" t="s">
        <v>65</v>
      </c>
    </row>
    <row r="305" spans="2:9">
      <c r="B305" s="7" t="s">
        <v>54</v>
      </c>
      <c r="C305" s="25" t="s">
        <v>49</v>
      </c>
      <c r="D305" s="25" t="s">
        <v>55</v>
      </c>
      <c r="E305" s="7" t="s">
        <v>624</v>
      </c>
      <c r="F305" s="14">
        <v>46223</v>
      </c>
      <c r="G305" s="7" t="s">
        <v>549</v>
      </c>
      <c r="H305" s="26" t="s">
        <v>551</v>
      </c>
      <c r="I305" s="5" t="s">
        <v>65</v>
      </c>
    </row>
    <row r="306" spans="2:9">
      <c r="B306" s="7" t="s">
        <v>54</v>
      </c>
      <c r="C306" s="25" t="s">
        <v>49</v>
      </c>
      <c r="D306" s="25" t="s">
        <v>55</v>
      </c>
      <c r="E306" s="7" t="s">
        <v>351</v>
      </c>
      <c r="F306" s="14">
        <v>46223</v>
      </c>
      <c r="G306" s="7" t="s">
        <v>549</v>
      </c>
      <c r="H306" s="26" t="s">
        <v>552</v>
      </c>
      <c r="I306" s="5" t="s">
        <v>65</v>
      </c>
    </row>
    <row r="307" spans="2:9">
      <c r="B307" s="7" t="s">
        <v>54</v>
      </c>
      <c r="C307" s="25" t="s">
        <v>49</v>
      </c>
      <c r="D307" s="25" t="s">
        <v>55</v>
      </c>
      <c r="E307" s="7" t="s">
        <v>351</v>
      </c>
      <c r="F307" s="14">
        <v>46223</v>
      </c>
      <c r="G307" s="7" t="s">
        <v>549</v>
      </c>
      <c r="H307" s="26" t="s">
        <v>553</v>
      </c>
      <c r="I307" s="5" t="s">
        <v>65</v>
      </c>
    </row>
    <row r="308" spans="2:9">
      <c r="B308" s="7" t="s">
        <v>54</v>
      </c>
      <c r="C308" s="25" t="s">
        <v>49</v>
      </c>
      <c r="D308" s="25" t="s">
        <v>55</v>
      </c>
      <c r="E308" s="7" t="s">
        <v>625</v>
      </c>
      <c r="F308" s="14">
        <v>46223</v>
      </c>
      <c r="G308" s="7" t="s">
        <v>549</v>
      </c>
      <c r="H308" s="26" t="s">
        <v>554</v>
      </c>
      <c r="I308" s="5" t="s">
        <v>65</v>
      </c>
    </row>
    <row r="309" spans="2:9">
      <c r="B309" s="7" t="s">
        <v>54</v>
      </c>
      <c r="C309" s="25" t="s">
        <v>49</v>
      </c>
      <c r="D309" s="25" t="s">
        <v>55</v>
      </c>
      <c r="E309" s="7" t="s">
        <v>625</v>
      </c>
      <c r="F309" s="14">
        <v>46223</v>
      </c>
      <c r="G309" s="7" t="s">
        <v>549</v>
      </c>
      <c r="H309" s="26" t="s">
        <v>555</v>
      </c>
      <c r="I309" s="5" t="s">
        <v>65</v>
      </c>
    </row>
    <row r="310" spans="2:9">
      <c r="B310" s="7" t="s">
        <v>54</v>
      </c>
      <c r="C310" s="25" t="s">
        <v>49</v>
      </c>
      <c r="D310" s="25" t="s">
        <v>55</v>
      </c>
      <c r="E310" s="7" t="s">
        <v>625</v>
      </c>
      <c r="F310" s="14">
        <v>46223</v>
      </c>
      <c r="G310" s="7" t="s">
        <v>549</v>
      </c>
      <c r="H310" s="26" t="s">
        <v>556</v>
      </c>
      <c r="I310" s="5" t="s">
        <v>65</v>
      </c>
    </row>
    <row r="311" spans="2:9">
      <c r="B311" s="7" t="s">
        <v>54</v>
      </c>
      <c r="C311" s="25" t="s">
        <v>49</v>
      </c>
      <c r="D311" s="25" t="s">
        <v>55</v>
      </c>
      <c r="E311" s="7" t="s">
        <v>625</v>
      </c>
      <c r="F311" s="14">
        <v>46223</v>
      </c>
      <c r="G311" s="7" t="s">
        <v>549</v>
      </c>
      <c r="H311" s="26" t="s">
        <v>557</v>
      </c>
      <c r="I311" s="5" t="s">
        <v>65</v>
      </c>
    </row>
    <row r="312" spans="2:9">
      <c r="B312" s="7" t="s">
        <v>54</v>
      </c>
      <c r="C312" s="25" t="s">
        <v>141</v>
      </c>
      <c r="D312" s="25" t="s">
        <v>111</v>
      </c>
      <c r="E312" s="7" t="s">
        <v>626</v>
      </c>
      <c r="F312" s="14">
        <v>46223</v>
      </c>
      <c r="G312" s="7" t="s">
        <v>545</v>
      </c>
      <c r="H312" s="26" t="s">
        <v>558</v>
      </c>
      <c r="I312" s="5" t="s">
        <v>65</v>
      </c>
    </row>
    <row r="313" spans="2:9">
      <c r="B313" s="7" t="s">
        <v>54</v>
      </c>
      <c r="C313" s="25" t="s">
        <v>49</v>
      </c>
      <c r="D313" s="25" t="s">
        <v>48</v>
      </c>
      <c r="E313" s="7" t="s">
        <v>373</v>
      </c>
      <c r="F313" s="14">
        <v>46223</v>
      </c>
      <c r="G313" s="7" t="s">
        <v>539</v>
      </c>
      <c r="H313" s="26" t="s">
        <v>559</v>
      </c>
      <c r="I313" s="5" t="s">
        <v>65</v>
      </c>
    </row>
    <row r="314" spans="2:9">
      <c r="B314" s="7" t="s">
        <v>54</v>
      </c>
      <c r="C314" s="25" t="s">
        <v>49</v>
      </c>
      <c r="D314" s="25" t="s">
        <v>48</v>
      </c>
      <c r="E314" s="7" t="s">
        <v>627</v>
      </c>
      <c r="F314" s="14">
        <v>46223</v>
      </c>
      <c r="G314" s="7" t="s">
        <v>542</v>
      </c>
      <c r="H314" s="26" t="s">
        <v>560</v>
      </c>
      <c r="I314" s="5" t="s">
        <v>65</v>
      </c>
    </row>
    <row r="315" spans="2:9">
      <c r="B315" s="7" t="s">
        <v>54</v>
      </c>
      <c r="C315" s="25" t="s">
        <v>49</v>
      </c>
      <c r="D315" s="25" t="s">
        <v>48</v>
      </c>
      <c r="E315" s="7" t="s">
        <v>619</v>
      </c>
      <c r="F315" s="14">
        <v>46223</v>
      </c>
      <c r="G315" s="7" t="s">
        <v>542</v>
      </c>
      <c r="H315" s="26" t="s">
        <v>561</v>
      </c>
      <c r="I315" s="5" t="s">
        <v>65</v>
      </c>
    </row>
    <row r="316" spans="2:9">
      <c r="B316" s="7" t="s">
        <v>54</v>
      </c>
      <c r="C316" s="25" t="s">
        <v>49</v>
      </c>
      <c r="D316" s="25" t="s">
        <v>48</v>
      </c>
      <c r="E316" s="7" t="s">
        <v>628</v>
      </c>
      <c r="F316" s="14">
        <v>46223</v>
      </c>
      <c r="G316" s="7" t="s">
        <v>542</v>
      </c>
      <c r="H316" s="26" t="s">
        <v>562</v>
      </c>
      <c r="I316" s="5" t="s">
        <v>65</v>
      </c>
    </row>
    <row r="317" spans="2:9">
      <c r="B317" s="7" t="s">
        <v>54</v>
      </c>
      <c r="C317" s="25" t="s">
        <v>141</v>
      </c>
      <c r="D317" s="25" t="s">
        <v>111</v>
      </c>
      <c r="E317" s="7" t="s">
        <v>629</v>
      </c>
      <c r="F317" s="14">
        <v>46223</v>
      </c>
      <c r="G317" s="7" t="s">
        <v>545</v>
      </c>
      <c r="H317" s="26" t="s">
        <v>563</v>
      </c>
      <c r="I317" s="5" t="s">
        <v>65</v>
      </c>
    </row>
    <row r="318" spans="2:9">
      <c r="B318" s="7" t="s">
        <v>54</v>
      </c>
      <c r="C318" s="25" t="s">
        <v>49</v>
      </c>
      <c r="D318" s="25" t="s">
        <v>48</v>
      </c>
      <c r="E318" s="7" t="s">
        <v>352</v>
      </c>
      <c r="F318" s="14">
        <v>46223</v>
      </c>
      <c r="G318" s="7" t="s">
        <v>542</v>
      </c>
      <c r="H318" s="26" t="s">
        <v>564</v>
      </c>
      <c r="I318" s="5" t="s">
        <v>65</v>
      </c>
    </row>
    <row r="319" spans="2:9">
      <c r="B319" s="7" t="s">
        <v>54</v>
      </c>
      <c r="C319" s="25" t="s">
        <v>49</v>
      </c>
      <c r="D319" s="25" t="s">
        <v>48</v>
      </c>
      <c r="E319" s="7" t="s">
        <v>352</v>
      </c>
      <c r="F319" s="14">
        <v>46223</v>
      </c>
      <c r="G319" s="7" t="s">
        <v>566</v>
      </c>
      <c r="H319" s="26" t="s">
        <v>565</v>
      </c>
      <c r="I319" s="5" t="s">
        <v>65</v>
      </c>
    </row>
    <row r="320" spans="2:9">
      <c r="B320" s="7" t="s">
        <v>54</v>
      </c>
      <c r="C320" s="25" t="s">
        <v>49</v>
      </c>
      <c r="D320" s="25" t="s">
        <v>48</v>
      </c>
      <c r="E320" s="7" t="s">
        <v>630</v>
      </c>
      <c r="F320" s="14">
        <v>46223</v>
      </c>
      <c r="G320" s="7" t="s">
        <v>566</v>
      </c>
      <c r="H320" s="26" t="s">
        <v>567</v>
      </c>
      <c r="I320" s="5" t="s">
        <v>65</v>
      </c>
    </row>
    <row r="321" spans="2:9">
      <c r="B321" s="7" t="s">
        <v>54</v>
      </c>
      <c r="C321" s="25" t="s">
        <v>49</v>
      </c>
      <c r="D321" s="25" t="s">
        <v>48</v>
      </c>
      <c r="E321" s="7" t="s">
        <v>631</v>
      </c>
      <c r="F321" s="14">
        <v>46223</v>
      </c>
      <c r="G321" s="7" t="s">
        <v>566</v>
      </c>
      <c r="H321" s="26" t="s">
        <v>568</v>
      </c>
      <c r="I321" s="5" t="s">
        <v>65</v>
      </c>
    </row>
    <row r="322" spans="2:9">
      <c r="B322" s="7" t="s">
        <v>54</v>
      </c>
      <c r="C322" s="25" t="s">
        <v>49</v>
      </c>
      <c r="D322" s="25" t="s">
        <v>48</v>
      </c>
      <c r="E322" s="7" t="s">
        <v>632</v>
      </c>
      <c r="F322" s="14">
        <v>46223</v>
      </c>
      <c r="G322" s="7" t="s">
        <v>566</v>
      </c>
      <c r="H322" s="26" t="s">
        <v>569</v>
      </c>
      <c r="I322" s="5" t="s">
        <v>65</v>
      </c>
    </row>
    <row r="323" spans="2:9">
      <c r="B323" s="7" t="s">
        <v>54</v>
      </c>
      <c r="C323" s="25" t="s">
        <v>49</v>
      </c>
      <c r="D323" s="25" t="s">
        <v>48</v>
      </c>
      <c r="E323" s="7" t="s">
        <v>365</v>
      </c>
      <c r="F323" s="14">
        <v>46223</v>
      </c>
      <c r="G323" s="7" t="s">
        <v>566</v>
      </c>
      <c r="H323" s="26" t="s">
        <v>570</v>
      </c>
      <c r="I323" s="5" t="s">
        <v>65</v>
      </c>
    </row>
    <row r="324" spans="2:9">
      <c r="B324" s="7" t="s">
        <v>54</v>
      </c>
      <c r="C324" s="25" t="s">
        <v>141</v>
      </c>
      <c r="D324" s="25" t="s">
        <v>111</v>
      </c>
      <c r="E324" s="7" t="s">
        <v>633</v>
      </c>
      <c r="F324" s="14">
        <v>46223</v>
      </c>
      <c r="G324" s="7" t="s">
        <v>545</v>
      </c>
      <c r="H324" s="26" t="s">
        <v>572</v>
      </c>
      <c r="I324" s="5" t="s">
        <v>65</v>
      </c>
    </row>
    <row r="325" spans="2:9">
      <c r="B325" s="7" t="s">
        <v>54</v>
      </c>
      <c r="C325" s="25" t="s">
        <v>141</v>
      </c>
      <c r="D325" s="25" t="s">
        <v>111</v>
      </c>
      <c r="E325" s="7" t="s">
        <v>634</v>
      </c>
      <c r="F325" s="14">
        <v>46223</v>
      </c>
      <c r="G325" s="7" t="s">
        <v>545</v>
      </c>
      <c r="H325" s="26" t="s">
        <v>574</v>
      </c>
      <c r="I325" s="5" t="s">
        <v>65</v>
      </c>
    </row>
    <row r="326" spans="2:9">
      <c r="B326" s="7" t="s">
        <v>54</v>
      </c>
      <c r="C326" s="25" t="s">
        <v>141</v>
      </c>
      <c r="D326" s="25" t="s">
        <v>111</v>
      </c>
      <c r="E326" s="7" t="s">
        <v>635</v>
      </c>
      <c r="F326" s="14">
        <v>46223</v>
      </c>
      <c r="G326" s="7" t="s">
        <v>545</v>
      </c>
      <c r="H326" s="26" t="s">
        <v>575</v>
      </c>
      <c r="I326" s="5" t="s">
        <v>65</v>
      </c>
    </row>
    <row r="327" spans="2:9">
      <c r="B327" s="7" t="s">
        <v>54</v>
      </c>
      <c r="C327" s="25" t="s">
        <v>49</v>
      </c>
      <c r="D327" s="25" t="s">
        <v>48</v>
      </c>
      <c r="E327" s="7" t="s">
        <v>636</v>
      </c>
      <c r="F327" s="14">
        <v>46223</v>
      </c>
      <c r="G327" s="7" t="s">
        <v>566</v>
      </c>
      <c r="H327" s="26" t="s">
        <v>576</v>
      </c>
      <c r="I327" s="5" t="s">
        <v>65</v>
      </c>
    </row>
    <row r="328" spans="2:9">
      <c r="B328" s="7" t="s">
        <v>54</v>
      </c>
      <c r="C328" s="25" t="s">
        <v>49</v>
      </c>
      <c r="D328" s="25" t="s">
        <v>48</v>
      </c>
      <c r="E328" s="7" t="s">
        <v>615</v>
      </c>
      <c r="F328" s="14">
        <v>46223</v>
      </c>
      <c r="G328" s="7" t="s">
        <v>578</v>
      </c>
      <c r="H328" s="26" t="s">
        <v>577</v>
      </c>
      <c r="I328" s="5" t="s">
        <v>65</v>
      </c>
    </row>
    <row r="329" spans="2:9">
      <c r="B329" s="7" t="s">
        <v>54</v>
      </c>
      <c r="C329" s="25" t="s">
        <v>49</v>
      </c>
      <c r="D329" s="25" t="s">
        <v>48</v>
      </c>
      <c r="E329" s="7" t="s">
        <v>637</v>
      </c>
      <c r="F329" s="14">
        <v>46223</v>
      </c>
      <c r="G329" s="7" t="s">
        <v>578</v>
      </c>
      <c r="H329" s="26" t="s">
        <v>580</v>
      </c>
      <c r="I329" s="5" t="s">
        <v>65</v>
      </c>
    </row>
    <row r="330" spans="2:9">
      <c r="B330" s="7" t="s">
        <v>54</v>
      </c>
      <c r="C330" s="25" t="s">
        <v>49</v>
      </c>
      <c r="D330" s="25" t="s">
        <v>48</v>
      </c>
      <c r="E330" s="7" t="s">
        <v>638</v>
      </c>
      <c r="F330" s="14">
        <v>46223</v>
      </c>
      <c r="G330" s="7" t="s">
        <v>566</v>
      </c>
      <c r="H330" s="26" t="s">
        <v>581</v>
      </c>
      <c r="I330" s="5" t="s">
        <v>65</v>
      </c>
    </row>
    <row r="331" spans="2:9">
      <c r="B331" s="7" t="s">
        <v>54</v>
      </c>
      <c r="C331" s="25" t="s">
        <v>141</v>
      </c>
      <c r="D331" s="25" t="s">
        <v>111</v>
      </c>
      <c r="E331" s="7" t="s">
        <v>639</v>
      </c>
      <c r="F331" s="14">
        <v>46223</v>
      </c>
      <c r="G331" s="7" t="s">
        <v>545</v>
      </c>
      <c r="H331" s="26" t="s">
        <v>582</v>
      </c>
      <c r="I331" s="5" t="s">
        <v>65</v>
      </c>
    </row>
    <row r="332" spans="2:9">
      <c r="B332" s="7" t="s">
        <v>54</v>
      </c>
      <c r="C332" s="25" t="s">
        <v>141</v>
      </c>
      <c r="D332" s="25" t="s">
        <v>111</v>
      </c>
      <c r="E332" s="7" t="s">
        <v>640</v>
      </c>
      <c r="F332" s="14">
        <v>46223</v>
      </c>
      <c r="G332" s="7" t="s">
        <v>545</v>
      </c>
      <c r="H332" s="26" t="s">
        <v>583</v>
      </c>
      <c r="I332" s="5" t="s">
        <v>65</v>
      </c>
    </row>
    <row r="333" spans="2:9">
      <c r="B333" s="7" t="s">
        <v>54</v>
      </c>
      <c r="C333" s="25" t="s">
        <v>141</v>
      </c>
      <c r="D333" s="25" t="s">
        <v>111</v>
      </c>
      <c r="E333" s="7" t="s">
        <v>641</v>
      </c>
      <c r="F333" s="14">
        <v>46223</v>
      </c>
      <c r="G333" s="7" t="s">
        <v>545</v>
      </c>
      <c r="H333" s="26" t="s">
        <v>584</v>
      </c>
      <c r="I333" s="5" t="s">
        <v>65</v>
      </c>
    </row>
    <row r="334" spans="2:9">
      <c r="B334" s="7" t="s">
        <v>54</v>
      </c>
      <c r="C334" s="25" t="s">
        <v>49</v>
      </c>
      <c r="D334" s="25" t="s">
        <v>48</v>
      </c>
      <c r="E334" s="7" t="s">
        <v>478</v>
      </c>
      <c r="F334" s="14">
        <v>46223</v>
      </c>
      <c r="G334" s="7" t="s">
        <v>578</v>
      </c>
      <c r="H334" s="26" t="s">
        <v>585</v>
      </c>
      <c r="I334" s="5" t="s">
        <v>65</v>
      </c>
    </row>
    <row r="335" spans="2:9">
      <c r="B335" s="7" t="s">
        <v>54</v>
      </c>
      <c r="C335" s="25" t="s">
        <v>49</v>
      </c>
      <c r="D335" s="25" t="s">
        <v>48</v>
      </c>
      <c r="E335" s="7" t="s">
        <v>632</v>
      </c>
      <c r="F335" s="14">
        <v>46223</v>
      </c>
      <c r="G335" s="2" t="s">
        <v>578</v>
      </c>
      <c r="H335" s="26" t="s">
        <v>586</v>
      </c>
      <c r="I335" s="5" t="s">
        <v>65</v>
      </c>
    </row>
    <row r="336" spans="2:9">
      <c r="B336" s="7" t="s">
        <v>54</v>
      </c>
      <c r="C336" s="25" t="s">
        <v>49</v>
      </c>
      <c r="D336" s="25" t="s">
        <v>48</v>
      </c>
      <c r="E336" s="7" t="s">
        <v>642</v>
      </c>
      <c r="F336" s="14">
        <v>46223</v>
      </c>
      <c r="G336" s="2" t="s">
        <v>588</v>
      </c>
      <c r="H336" s="26" t="s">
        <v>587</v>
      </c>
      <c r="I336" s="5" t="s">
        <v>65</v>
      </c>
    </row>
    <row r="337" spans="2:9">
      <c r="B337" s="7" t="s">
        <v>54</v>
      </c>
      <c r="C337" s="25" t="s">
        <v>49</v>
      </c>
      <c r="D337" s="25" t="s">
        <v>48</v>
      </c>
      <c r="E337" s="7" t="s">
        <v>643</v>
      </c>
      <c r="F337" s="14">
        <v>46223</v>
      </c>
      <c r="G337" s="2" t="s">
        <v>590</v>
      </c>
      <c r="H337" s="26" t="s">
        <v>589</v>
      </c>
      <c r="I337" s="5" t="s">
        <v>65</v>
      </c>
    </row>
    <row r="338" spans="2:9">
      <c r="B338" s="7" t="s">
        <v>54</v>
      </c>
      <c r="C338" s="25" t="s">
        <v>49</v>
      </c>
      <c r="D338" s="25" t="s">
        <v>48</v>
      </c>
      <c r="E338" s="7" t="s">
        <v>644</v>
      </c>
      <c r="F338" s="14">
        <v>46223</v>
      </c>
      <c r="G338" s="2" t="s">
        <v>592</v>
      </c>
      <c r="H338" s="26" t="s">
        <v>591</v>
      </c>
      <c r="I338" s="5" t="s">
        <v>65</v>
      </c>
    </row>
    <row r="339" spans="2:9">
      <c r="B339" s="7" t="s">
        <v>54</v>
      </c>
      <c r="C339" s="25" t="s">
        <v>49</v>
      </c>
      <c r="D339" s="25" t="s">
        <v>55</v>
      </c>
      <c r="E339" s="7" t="s">
        <v>645</v>
      </c>
      <c r="F339" s="14">
        <v>46223</v>
      </c>
      <c r="G339" s="2" t="s">
        <v>549</v>
      </c>
      <c r="H339" s="26" t="s">
        <v>593</v>
      </c>
      <c r="I339" s="5" t="s">
        <v>65</v>
      </c>
    </row>
    <row r="340" spans="2:9">
      <c r="B340" s="7" t="s">
        <v>54</v>
      </c>
      <c r="C340" s="25" t="s">
        <v>141</v>
      </c>
      <c r="D340" s="25" t="s">
        <v>111</v>
      </c>
      <c r="E340" s="7" t="s">
        <v>646</v>
      </c>
      <c r="F340" s="14">
        <v>46223</v>
      </c>
      <c r="G340" s="2" t="s">
        <v>451</v>
      </c>
      <c r="H340" s="26" t="s">
        <v>594</v>
      </c>
      <c r="I340" s="5" t="s">
        <v>65</v>
      </c>
    </row>
    <row r="341" spans="2:9">
      <c r="B341" s="7" t="s">
        <v>54</v>
      </c>
      <c r="C341" s="25" t="s">
        <v>141</v>
      </c>
      <c r="D341" s="25" t="s">
        <v>111</v>
      </c>
      <c r="E341" s="7" t="s">
        <v>647</v>
      </c>
      <c r="F341" s="14">
        <v>46223</v>
      </c>
      <c r="G341" s="2" t="s">
        <v>451</v>
      </c>
      <c r="H341" s="26" t="s">
        <v>595</v>
      </c>
      <c r="I341" s="5" t="s">
        <v>65</v>
      </c>
    </row>
    <row r="342" spans="2:9">
      <c r="B342" s="7" t="s">
        <v>54</v>
      </c>
      <c r="C342" s="25" t="s">
        <v>141</v>
      </c>
      <c r="D342" s="25" t="s">
        <v>111</v>
      </c>
      <c r="E342" s="7" t="s">
        <v>648</v>
      </c>
      <c r="F342" s="14">
        <v>46223</v>
      </c>
      <c r="G342" s="2" t="s">
        <v>451</v>
      </c>
      <c r="H342" s="26" t="s">
        <v>596</v>
      </c>
      <c r="I342" s="5" t="s">
        <v>65</v>
      </c>
    </row>
    <row r="343" spans="2:9">
      <c r="B343" s="7" t="s">
        <v>54</v>
      </c>
      <c r="C343" s="25" t="s">
        <v>49</v>
      </c>
      <c r="D343" s="25" t="s">
        <v>48</v>
      </c>
      <c r="E343" s="7" t="s">
        <v>478</v>
      </c>
      <c r="F343" s="14">
        <v>46223</v>
      </c>
      <c r="G343" s="2" t="s">
        <v>590</v>
      </c>
      <c r="H343" s="26" t="s">
        <v>597</v>
      </c>
      <c r="I343" s="5" t="s">
        <v>65</v>
      </c>
    </row>
    <row r="344" spans="2:9">
      <c r="B344" s="7" t="s">
        <v>54</v>
      </c>
      <c r="C344" s="25" t="s">
        <v>49</v>
      </c>
      <c r="D344" s="25" t="s">
        <v>48</v>
      </c>
      <c r="E344" s="7" t="s">
        <v>352</v>
      </c>
      <c r="F344" s="14">
        <v>46223</v>
      </c>
      <c r="G344" s="2" t="s">
        <v>599</v>
      </c>
      <c r="H344" s="26" t="s">
        <v>598</v>
      </c>
      <c r="I344" s="5" t="s">
        <v>65</v>
      </c>
    </row>
    <row r="345" spans="2:9">
      <c r="B345" s="7" t="s">
        <v>54</v>
      </c>
      <c r="C345" s="25" t="s">
        <v>49</v>
      </c>
      <c r="D345" s="25" t="s">
        <v>48</v>
      </c>
      <c r="E345" s="7" t="s">
        <v>649</v>
      </c>
      <c r="F345" s="14">
        <v>46223</v>
      </c>
      <c r="G345" s="2" t="s">
        <v>599</v>
      </c>
      <c r="H345" s="26" t="s">
        <v>600</v>
      </c>
      <c r="I345" s="5" t="s">
        <v>65</v>
      </c>
    </row>
    <row r="346" spans="2:9">
      <c r="B346" s="7" t="s">
        <v>54</v>
      </c>
      <c r="C346" s="25" t="s">
        <v>49</v>
      </c>
      <c r="D346" s="25" t="s">
        <v>48</v>
      </c>
      <c r="E346" s="7" t="s">
        <v>650</v>
      </c>
      <c r="F346" s="14">
        <v>46223</v>
      </c>
      <c r="G346" s="2" t="s">
        <v>590</v>
      </c>
      <c r="H346" s="26" t="s">
        <v>601</v>
      </c>
      <c r="I346" s="5" t="s">
        <v>65</v>
      </c>
    </row>
    <row r="347" spans="2:9">
      <c r="B347" s="7" t="s">
        <v>54</v>
      </c>
      <c r="C347" s="25" t="s">
        <v>49</v>
      </c>
      <c r="D347" s="25" t="s">
        <v>48</v>
      </c>
      <c r="E347" s="7" t="s">
        <v>352</v>
      </c>
      <c r="F347" s="14">
        <v>46223</v>
      </c>
      <c r="G347" s="2" t="s">
        <v>599</v>
      </c>
      <c r="H347" s="26" t="s">
        <v>602</v>
      </c>
      <c r="I347" s="5" t="s">
        <v>65</v>
      </c>
    </row>
    <row r="348" spans="2:9">
      <c r="B348" s="7" t="s">
        <v>54</v>
      </c>
      <c r="C348" s="25" t="s">
        <v>141</v>
      </c>
      <c r="D348" s="25" t="s">
        <v>111</v>
      </c>
      <c r="E348" s="7" t="s">
        <v>651</v>
      </c>
      <c r="F348" s="14">
        <v>46223</v>
      </c>
      <c r="G348" s="2" t="s">
        <v>451</v>
      </c>
      <c r="H348" s="26" t="s">
        <v>603</v>
      </c>
      <c r="I348" s="5" t="s">
        <v>65</v>
      </c>
    </row>
    <row r="349" spans="2:9">
      <c r="B349" s="7" t="s">
        <v>54</v>
      </c>
      <c r="C349" s="25" t="s">
        <v>141</v>
      </c>
      <c r="D349" s="25" t="s">
        <v>111</v>
      </c>
      <c r="E349" s="7" t="s">
        <v>652</v>
      </c>
      <c r="F349" s="14">
        <v>46223</v>
      </c>
      <c r="G349" s="2" t="s">
        <v>451</v>
      </c>
      <c r="H349" s="26" t="s">
        <v>604</v>
      </c>
      <c r="I349" s="5" t="s">
        <v>65</v>
      </c>
    </row>
    <row r="350" spans="2:9">
      <c r="B350" s="7" t="s">
        <v>54</v>
      </c>
      <c r="C350" s="25" t="s">
        <v>141</v>
      </c>
      <c r="D350" s="25" t="s">
        <v>111</v>
      </c>
      <c r="E350" s="28" t="s">
        <v>653</v>
      </c>
      <c r="F350" s="14">
        <v>46223</v>
      </c>
      <c r="G350" s="26" t="s">
        <v>451</v>
      </c>
      <c r="H350" s="26" t="s">
        <v>605</v>
      </c>
      <c r="I350" s="5" t="s">
        <v>65</v>
      </c>
    </row>
    <row r="351" spans="2:9">
      <c r="B351" s="7" t="s">
        <v>54</v>
      </c>
      <c r="C351" s="25" t="s">
        <v>49</v>
      </c>
      <c r="D351" s="25" t="s">
        <v>48</v>
      </c>
      <c r="E351" s="28" t="s">
        <v>654</v>
      </c>
      <c r="F351" s="14">
        <v>46223</v>
      </c>
      <c r="G351" s="26" t="s">
        <v>607</v>
      </c>
      <c r="H351" s="26" t="s">
        <v>606</v>
      </c>
      <c r="I351" s="5" t="s">
        <v>65</v>
      </c>
    </row>
    <row r="352" spans="2:9">
      <c r="B352" s="7" t="s">
        <v>54</v>
      </c>
      <c r="C352" s="25" t="s">
        <v>49</v>
      </c>
      <c r="D352" s="25" t="s">
        <v>48</v>
      </c>
      <c r="E352" s="28" t="s">
        <v>655</v>
      </c>
      <c r="F352" s="14">
        <v>46223</v>
      </c>
      <c r="G352" s="26" t="s">
        <v>599</v>
      </c>
      <c r="H352" s="26" t="s">
        <v>608</v>
      </c>
      <c r="I352" s="5" t="s">
        <v>65</v>
      </c>
    </row>
    <row r="353" spans="2:9">
      <c r="B353" s="7" t="s">
        <v>54</v>
      </c>
      <c r="C353" s="25" t="s">
        <v>141</v>
      </c>
      <c r="D353" s="25" t="s">
        <v>111</v>
      </c>
      <c r="E353" s="28" t="s">
        <v>656</v>
      </c>
      <c r="F353" s="14">
        <v>46223</v>
      </c>
      <c r="G353" s="26" t="s">
        <v>451</v>
      </c>
      <c r="H353" s="26" t="s">
        <v>609</v>
      </c>
      <c r="I353" s="5" t="s">
        <v>65</v>
      </c>
    </row>
    <row r="354" spans="2:9">
      <c r="B354" s="7" t="s">
        <v>54</v>
      </c>
      <c r="C354" s="25" t="s">
        <v>527</v>
      </c>
      <c r="D354" s="25" t="s">
        <v>526</v>
      </c>
      <c r="E354" s="7" t="s">
        <v>610</v>
      </c>
      <c r="F354" s="14">
        <v>46223</v>
      </c>
      <c r="G354" s="7" t="s">
        <v>452</v>
      </c>
      <c r="H354" s="26" t="s">
        <v>525</v>
      </c>
      <c r="I354" s="5" t="s">
        <v>65</v>
      </c>
    </row>
    <row r="355" spans="2:9">
      <c r="B355" s="7" t="s">
        <v>54</v>
      </c>
      <c r="C355" s="25" t="s">
        <v>527</v>
      </c>
      <c r="D355" s="25" t="s">
        <v>526</v>
      </c>
      <c r="E355" s="7" t="s">
        <v>611</v>
      </c>
      <c r="F355" s="14">
        <v>46223</v>
      </c>
      <c r="G355" s="7" t="s">
        <v>452</v>
      </c>
      <c r="H355" s="26" t="s">
        <v>528</v>
      </c>
      <c r="I355" s="5" t="s">
        <v>65</v>
      </c>
    </row>
    <row r="356" spans="2:9">
      <c r="B356" s="7" t="s">
        <v>54</v>
      </c>
      <c r="C356" s="25" t="s">
        <v>527</v>
      </c>
      <c r="D356" s="25" t="s">
        <v>526</v>
      </c>
      <c r="E356" s="7" t="s">
        <v>612</v>
      </c>
      <c r="F356" s="14">
        <v>46223</v>
      </c>
      <c r="G356" s="7" t="s">
        <v>453</v>
      </c>
      <c r="H356" s="26" t="s">
        <v>529</v>
      </c>
      <c r="I356" s="5" t="s">
        <v>65</v>
      </c>
    </row>
    <row r="357" spans="2:9">
      <c r="B357" s="7" t="s">
        <v>54</v>
      </c>
      <c r="C357" s="25" t="s">
        <v>49</v>
      </c>
      <c r="D357" s="25" t="s">
        <v>48</v>
      </c>
      <c r="E357" s="7" t="s">
        <v>352</v>
      </c>
      <c r="F357" s="14">
        <v>46223</v>
      </c>
      <c r="G357" s="7" t="s">
        <v>531</v>
      </c>
      <c r="H357" s="26" t="s">
        <v>530</v>
      </c>
      <c r="I357" s="5" t="s">
        <v>65</v>
      </c>
    </row>
    <row r="358" spans="2:9">
      <c r="B358" s="7" t="s">
        <v>54</v>
      </c>
      <c r="C358" s="25" t="s">
        <v>49</v>
      </c>
      <c r="D358" s="25" t="s">
        <v>48</v>
      </c>
      <c r="E358" s="7" t="s">
        <v>613</v>
      </c>
      <c r="F358" s="14">
        <v>46223</v>
      </c>
      <c r="G358" s="7" t="s">
        <v>531</v>
      </c>
      <c r="H358" s="26" t="s">
        <v>532</v>
      </c>
      <c r="I358" s="5" t="s">
        <v>65</v>
      </c>
    </row>
    <row r="359" spans="2:9">
      <c r="B359" s="7" t="s">
        <v>54</v>
      </c>
      <c r="C359" s="25" t="s">
        <v>49</v>
      </c>
      <c r="D359" s="25" t="s">
        <v>48</v>
      </c>
      <c r="E359" s="7" t="s">
        <v>614</v>
      </c>
      <c r="F359" s="14">
        <v>46223</v>
      </c>
      <c r="G359" s="7" t="s">
        <v>531</v>
      </c>
      <c r="H359" s="26" t="s">
        <v>533</v>
      </c>
      <c r="I359" s="5" t="s">
        <v>65</v>
      </c>
    </row>
    <row r="360" spans="2:9">
      <c r="B360" s="7" t="s">
        <v>54</v>
      </c>
      <c r="C360" s="25" t="s">
        <v>49</v>
      </c>
      <c r="D360" s="25" t="s">
        <v>48</v>
      </c>
      <c r="E360" s="7" t="s">
        <v>352</v>
      </c>
      <c r="F360" s="14">
        <v>46223</v>
      </c>
      <c r="G360" s="7" t="s">
        <v>531</v>
      </c>
      <c r="H360" s="26" t="s">
        <v>534</v>
      </c>
      <c r="I360" s="5" t="s">
        <v>65</v>
      </c>
    </row>
    <row r="361" spans="2:9">
      <c r="B361" s="7" t="s">
        <v>54</v>
      </c>
      <c r="C361" s="25" t="s">
        <v>49</v>
      </c>
      <c r="D361" s="25" t="s">
        <v>48</v>
      </c>
      <c r="E361" s="7" t="s">
        <v>615</v>
      </c>
      <c r="F361" s="14">
        <v>46223</v>
      </c>
      <c r="G361" s="7" t="s">
        <v>536</v>
      </c>
      <c r="H361" s="26" t="s">
        <v>535</v>
      </c>
      <c r="I361" s="5" t="s">
        <v>65</v>
      </c>
    </row>
    <row r="362" spans="2:9">
      <c r="B362" s="7" t="s">
        <v>54</v>
      </c>
      <c r="C362" s="25" t="s">
        <v>49</v>
      </c>
      <c r="D362" s="25" t="s">
        <v>48</v>
      </c>
      <c r="E362" s="7" t="s">
        <v>616</v>
      </c>
      <c r="F362" s="14">
        <v>46223</v>
      </c>
      <c r="G362" s="7" t="s">
        <v>536</v>
      </c>
      <c r="H362" s="26" t="s">
        <v>537</v>
      </c>
      <c r="I362" s="5" t="s">
        <v>65</v>
      </c>
    </row>
    <row r="363" spans="2:9">
      <c r="B363" s="7" t="s">
        <v>54</v>
      </c>
      <c r="C363" s="25" t="s">
        <v>49</v>
      </c>
      <c r="D363" s="25" t="s">
        <v>48</v>
      </c>
      <c r="E363" s="7" t="s">
        <v>352</v>
      </c>
      <c r="F363" s="14">
        <v>46223</v>
      </c>
      <c r="G363" s="7" t="s">
        <v>539</v>
      </c>
      <c r="H363" s="26" t="s">
        <v>538</v>
      </c>
      <c r="I363" s="5" t="s">
        <v>65</v>
      </c>
    </row>
    <row r="364" spans="2:9">
      <c r="B364" s="7" t="s">
        <v>54</v>
      </c>
      <c r="C364" s="25" t="s">
        <v>49</v>
      </c>
      <c r="D364" s="25" t="s">
        <v>48</v>
      </c>
      <c r="E364" s="7" t="s">
        <v>617</v>
      </c>
      <c r="F364" s="14">
        <v>46223</v>
      </c>
      <c r="G364" s="7" t="s">
        <v>539</v>
      </c>
      <c r="H364" s="26" t="s">
        <v>540</v>
      </c>
      <c r="I364" s="5" t="s">
        <v>65</v>
      </c>
    </row>
    <row r="365" spans="2:9">
      <c r="B365" s="7" t="s">
        <v>54</v>
      </c>
      <c r="C365" s="25" t="s">
        <v>49</v>
      </c>
      <c r="D365" s="25" t="s">
        <v>48</v>
      </c>
      <c r="E365" s="7" t="s">
        <v>618</v>
      </c>
      <c r="F365" s="14">
        <v>46223</v>
      </c>
      <c r="G365" s="7" t="s">
        <v>542</v>
      </c>
      <c r="H365" s="26" t="s">
        <v>541</v>
      </c>
      <c r="I365" s="5" t="s">
        <v>65</v>
      </c>
    </row>
    <row r="366" spans="2:9">
      <c r="B366" s="7" t="s">
        <v>54</v>
      </c>
      <c r="C366" s="25" t="s">
        <v>49</v>
      </c>
      <c r="D366" s="25" t="s">
        <v>48</v>
      </c>
      <c r="E366" s="7" t="s">
        <v>619</v>
      </c>
      <c r="F366" s="14">
        <v>46223</v>
      </c>
      <c r="G366" s="7" t="s">
        <v>539</v>
      </c>
      <c r="H366" s="26" t="s">
        <v>543</v>
      </c>
      <c r="I366" s="5" t="s">
        <v>65</v>
      </c>
    </row>
    <row r="367" spans="2:9">
      <c r="B367" s="7" t="s">
        <v>54</v>
      </c>
      <c r="C367" s="25" t="s">
        <v>141</v>
      </c>
      <c r="D367" s="25" t="s">
        <v>111</v>
      </c>
      <c r="E367" s="7" t="s">
        <v>620</v>
      </c>
      <c r="F367" s="14">
        <v>46223</v>
      </c>
      <c r="G367" s="7" t="s">
        <v>545</v>
      </c>
      <c r="H367" s="26" t="s">
        <v>544</v>
      </c>
      <c r="I367" s="5" t="s">
        <v>65</v>
      </c>
    </row>
    <row r="368" spans="2:9">
      <c r="B368" s="7" t="s">
        <v>54</v>
      </c>
      <c r="C368" s="25" t="s">
        <v>141</v>
      </c>
      <c r="D368" s="25" t="s">
        <v>111</v>
      </c>
      <c r="E368" s="7" t="s">
        <v>621</v>
      </c>
      <c r="F368" s="14">
        <v>46223</v>
      </c>
      <c r="G368" s="7" t="s">
        <v>545</v>
      </c>
      <c r="H368" s="26" t="s">
        <v>546</v>
      </c>
      <c r="I368" s="5" t="s">
        <v>65</v>
      </c>
    </row>
    <row r="369" spans="2:9">
      <c r="B369" s="7" t="s">
        <v>54</v>
      </c>
      <c r="C369" s="25" t="s">
        <v>141</v>
      </c>
      <c r="D369" s="25" t="s">
        <v>111</v>
      </c>
      <c r="E369" s="7" t="s">
        <v>622</v>
      </c>
      <c r="F369" s="14">
        <v>46223</v>
      </c>
      <c r="G369" s="7" t="s">
        <v>545</v>
      </c>
      <c r="H369" s="26" t="s">
        <v>547</v>
      </c>
      <c r="I369" s="5" t="s">
        <v>65</v>
      </c>
    </row>
    <row r="370" spans="2:9">
      <c r="B370" s="7" t="s">
        <v>54</v>
      </c>
      <c r="C370" s="25" t="s">
        <v>49</v>
      </c>
      <c r="D370" s="25" t="s">
        <v>55</v>
      </c>
      <c r="E370" s="7" t="s">
        <v>623</v>
      </c>
      <c r="F370" s="14">
        <v>46223</v>
      </c>
      <c r="G370" s="7" t="s">
        <v>549</v>
      </c>
      <c r="H370" s="26" t="s">
        <v>548</v>
      </c>
      <c r="I370" s="5" t="s">
        <v>65</v>
      </c>
    </row>
    <row r="371" spans="2:9">
      <c r="B371" s="7" t="s">
        <v>54</v>
      </c>
      <c r="C371" s="25" t="s">
        <v>49</v>
      </c>
      <c r="D371" s="25" t="s">
        <v>55</v>
      </c>
      <c r="E371" s="7" t="s">
        <v>624</v>
      </c>
      <c r="F371" s="14">
        <v>46223</v>
      </c>
      <c r="G371" s="7" t="s">
        <v>549</v>
      </c>
      <c r="H371" s="26" t="s">
        <v>550</v>
      </c>
      <c r="I371" s="5" t="s">
        <v>65</v>
      </c>
    </row>
    <row r="372" spans="2:9">
      <c r="B372" s="7" t="s">
        <v>54</v>
      </c>
      <c r="C372" s="25" t="s">
        <v>49</v>
      </c>
      <c r="D372" s="25" t="s">
        <v>55</v>
      </c>
      <c r="E372" s="7" t="s">
        <v>624</v>
      </c>
      <c r="F372" s="14">
        <v>46223</v>
      </c>
      <c r="G372" s="7" t="s">
        <v>549</v>
      </c>
      <c r="H372" s="26" t="s">
        <v>551</v>
      </c>
      <c r="I372" s="5" t="s">
        <v>65</v>
      </c>
    </row>
    <row r="373" spans="2:9">
      <c r="B373" s="7" t="s">
        <v>54</v>
      </c>
      <c r="C373" s="25" t="s">
        <v>49</v>
      </c>
      <c r="D373" s="25" t="s">
        <v>55</v>
      </c>
      <c r="E373" s="7" t="s">
        <v>351</v>
      </c>
      <c r="F373" s="14">
        <v>46223</v>
      </c>
      <c r="G373" s="7" t="s">
        <v>549</v>
      </c>
      <c r="H373" s="26" t="s">
        <v>552</v>
      </c>
      <c r="I373" s="5" t="s">
        <v>65</v>
      </c>
    </row>
    <row r="374" spans="2:9">
      <c r="B374" s="7" t="s">
        <v>54</v>
      </c>
      <c r="C374" s="25" t="s">
        <v>49</v>
      </c>
      <c r="D374" s="25" t="s">
        <v>55</v>
      </c>
      <c r="E374" s="7" t="s">
        <v>351</v>
      </c>
      <c r="F374" s="14">
        <v>46223</v>
      </c>
      <c r="G374" s="7" t="s">
        <v>549</v>
      </c>
      <c r="H374" s="26" t="s">
        <v>553</v>
      </c>
      <c r="I374" s="5" t="s">
        <v>65</v>
      </c>
    </row>
    <row r="375" spans="2:9">
      <c r="B375" s="7" t="s">
        <v>54</v>
      </c>
      <c r="C375" s="25" t="s">
        <v>49</v>
      </c>
      <c r="D375" s="25" t="s">
        <v>55</v>
      </c>
      <c r="E375" s="7" t="s">
        <v>625</v>
      </c>
      <c r="F375" s="14">
        <v>46223</v>
      </c>
      <c r="G375" s="7" t="s">
        <v>549</v>
      </c>
      <c r="H375" s="26" t="s">
        <v>554</v>
      </c>
      <c r="I375" s="5" t="s">
        <v>65</v>
      </c>
    </row>
    <row r="376" spans="2:9">
      <c r="B376" s="7" t="s">
        <v>54</v>
      </c>
      <c r="C376" s="25" t="s">
        <v>49</v>
      </c>
      <c r="D376" s="25" t="s">
        <v>55</v>
      </c>
      <c r="E376" s="7" t="s">
        <v>625</v>
      </c>
      <c r="F376" s="14">
        <v>46223</v>
      </c>
      <c r="G376" s="7" t="s">
        <v>549</v>
      </c>
      <c r="H376" s="26" t="s">
        <v>555</v>
      </c>
      <c r="I376" s="5" t="s">
        <v>65</v>
      </c>
    </row>
    <row r="377" spans="2:9">
      <c r="B377" s="7" t="s">
        <v>54</v>
      </c>
      <c r="C377" s="25" t="s">
        <v>49</v>
      </c>
      <c r="D377" s="25" t="s">
        <v>55</v>
      </c>
      <c r="E377" s="7" t="s">
        <v>625</v>
      </c>
      <c r="F377" s="14">
        <v>46223</v>
      </c>
      <c r="G377" s="7" t="s">
        <v>549</v>
      </c>
      <c r="H377" s="26" t="s">
        <v>556</v>
      </c>
      <c r="I377" s="5" t="s">
        <v>65</v>
      </c>
    </row>
    <row r="378" spans="2:9">
      <c r="B378" s="7" t="s">
        <v>54</v>
      </c>
      <c r="C378" s="25" t="s">
        <v>49</v>
      </c>
      <c r="D378" s="25" t="s">
        <v>55</v>
      </c>
      <c r="E378" s="7" t="s">
        <v>625</v>
      </c>
      <c r="F378" s="14">
        <v>46223</v>
      </c>
      <c r="G378" s="7" t="s">
        <v>549</v>
      </c>
      <c r="H378" s="26" t="s">
        <v>557</v>
      </c>
      <c r="I378" s="5" t="s">
        <v>65</v>
      </c>
    </row>
    <row r="379" spans="2:9">
      <c r="B379" s="7" t="s">
        <v>54</v>
      </c>
      <c r="C379" s="25" t="s">
        <v>141</v>
      </c>
      <c r="D379" s="25" t="s">
        <v>111</v>
      </c>
      <c r="E379" s="7" t="s">
        <v>626</v>
      </c>
      <c r="F379" s="14">
        <v>46223</v>
      </c>
      <c r="G379" s="7" t="s">
        <v>545</v>
      </c>
      <c r="H379" s="26" t="s">
        <v>558</v>
      </c>
      <c r="I379" s="5" t="s">
        <v>65</v>
      </c>
    </row>
    <row r="380" spans="2:9">
      <c r="B380" s="7" t="s">
        <v>54</v>
      </c>
      <c r="C380" s="25" t="s">
        <v>49</v>
      </c>
      <c r="D380" s="25" t="s">
        <v>48</v>
      </c>
      <c r="E380" s="7" t="s">
        <v>373</v>
      </c>
      <c r="F380" s="14">
        <v>46223</v>
      </c>
      <c r="G380" s="7" t="s">
        <v>539</v>
      </c>
      <c r="H380" s="26" t="s">
        <v>559</v>
      </c>
      <c r="I380" s="5" t="s">
        <v>65</v>
      </c>
    </row>
    <row r="381" spans="2:9">
      <c r="B381" s="7" t="s">
        <v>54</v>
      </c>
      <c r="C381" s="25" t="s">
        <v>49</v>
      </c>
      <c r="D381" s="25" t="s">
        <v>48</v>
      </c>
      <c r="E381" s="7" t="s">
        <v>627</v>
      </c>
      <c r="F381" s="14">
        <v>46223</v>
      </c>
      <c r="G381" s="7" t="s">
        <v>542</v>
      </c>
      <c r="H381" s="26" t="s">
        <v>560</v>
      </c>
      <c r="I381" s="5" t="s">
        <v>65</v>
      </c>
    </row>
    <row r="382" spans="2:9">
      <c r="B382" s="7" t="s">
        <v>54</v>
      </c>
      <c r="C382" s="25" t="s">
        <v>49</v>
      </c>
      <c r="D382" s="25" t="s">
        <v>48</v>
      </c>
      <c r="E382" s="7" t="s">
        <v>619</v>
      </c>
      <c r="F382" s="14">
        <v>46223</v>
      </c>
      <c r="G382" s="7" t="s">
        <v>542</v>
      </c>
      <c r="H382" s="26" t="s">
        <v>561</v>
      </c>
      <c r="I382" s="5" t="s">
        <v>65</v>
      </c>
    </row>
    <row r="383" spans="2:9">
      <c r="B383" s="7" t="s">
        <v>54</v>
      </c>
      <c r="C383" s="25" t="s">
        <v>49</v>
      </c>
      <c r="D383" s="25" t="s">
        <v>48</v>
      </c>
      <c r="E383" s="7" t="s">
        <v>628</v>
      </c>
      <c r="F383" s="14">
        <v>46223</v>
      </c>
      <c r="G383" s="7" t="s">
        <v>542</v>
      </c>
      <c r="H383" s="26" t="s">
        <v>562</v>
      </c>
      <c r="I383" s="5" t="s">
        <v>65</v>
      </c>
    </row>
    <row r="384" spans="2:9">
      <c r="B384" s="7" t="s">
        <v>54</v>
      </c>
      <c r="C384" s="25" t="s">
        <v>141</v>
      </c>
      <c r="D384" s="25" t="s">
        <v>111</v>
      </c>
      <c r="E384" s="7" t="s">
        <v>629</v>
      </c>
      <c r="F384" s="14">
        <v>46223</v>
      </c>
      <c r="G384" s="7" t="s">
        <v>545</v>
      </c>
      <c r="H384" s="26" t="s">
        <v>563</v>
      </c>
      <c r="I384" s="5" t="s">
        <v>65</v>
      </c>
    </row>
    <row r="385" spans="2:9">
      <c r="B385" s="7" t="s">
        <v>54</v>
      </c>
      <c r="C385" s="25" t="s">
        <v>49</v>
      </c>
      <c r="D385" s="25" t="s">
        <v>48</v>
      </c>
      <c r="E385" s="7" t="s">
        <v>352</v>
      </c>
      <c r="F385" s="14">
        <v>46223</v>
      </c>
      <c r="G385" s="7" t="s">
        <v>542</v>
      </c>
      <c r="H385" s="26" t="s">
        <v>564</v>
      </c>
      <c r="I385" s="5" t="s">
        <v>65</v>
      </c>
    </row>
    <row r="386" spans="2:9">
      <c r="B386" s="7" t="s">
        <v>54</v>
      </c>
      <c r="C386" s="25" t="s">
        <v>49</v>
      </c>
      <c r="D386" s="25" t="s">
        <v>48</v>
      </c>
      <c r="E386" s="7" t="s">
        <v>352</v>
      </c>
      <c r="F386" s="14">
        <v>46223</v>
      </c>
      <c r="G386" s="7" t="s">
        <v>566</v>
      </c>
      <c r="H386" s="26" t="s">
        <v>565</v>
      </c>
      <c r="I386" s="5" t="s">
        <v>65</v>
      </c>
    </row>
    <row r="387" spans="2:9">
      <c r="B387" s="7" t="s">
        <v>54</v>
      </c>
      <c r="C387" s="25" t="s">
        <v>49</v>
      </c>
      <c r="D387" s="25" t="s">
        <v>48</v>
      </c>
      <c r="E387" s="7" t="s">
        <v>630</v>
      </c>
      <c r="F387" s="14">
        <v>46223</v>
      </c>
      <c r="G387" s="7" t="s">
        <v>566</v>
      </c>
      <c r="H387" s="26" t="s">
        <v>567</v>
      </c>
      <c r="I387" s="5" t="s">
        <v>65</v>
      </c>
    </row>
    <row r="388" spans="2:9">
      <c r="B388" s="7" t="s">
        <v>54</v>
      </c>
      <c r="C388" s="25" t="s">
        <v>49</v>
      </c>
      <c r="D388" s="25" t="s">
        <v>48</v>
      </c>
      <c r="E388" s="7" t="s">
        <v>631</v>
      </c>
      <c r="F388" s="14">
        <v>46223</v>
      </c>
      <c r="G388" s="7" t="s">
        <v>566</v>
      </c>
      <c r="H388" s="26" t="s">
        <v>568</v>
      </c>
      <c r="I388" s="5" t="s">
        <v>65</v>
      </c>
    </row>
    <row r="389" spans="2:9">
      <c r="B389" s="7" t="s">
        <v>54</v>
      </c>
      <c r="C389" s="25" t="s">
        <v>49</v>
      </c>
      <c r="D389" s="25" t="s">
        <v>48</v>
      </c>
      <c r="E389" s="7" t="s">
        <v>632</v>
      </c>
      <c r="F389" s="14">
        <v>46223</v>
      </c>
      <c r="G389" s="7" t="s">
        <v>566</v>
      </c>
      <c r="H389" s="26" t="s">
        <v>569</v>
      </c>
      <c r="I389" s="5" t="s">
        <v>65</v>
      </c>
    </row>
    <row r="390" spans="2:9">
      <c r="B390" s="7" t="s">
        <v>54</v>
      </c>
      <c r="C390" s="25" t="s">
        <v>49</v>
      </c>
      <c r="D390" s="25" t="s">
        <v>48</v>
      </c>
      <c r="E390" s="7" t="s">
        <v>365</v>
      </c>
      <c r="F390" s="14">
        <v>46223</v>
      </c>
      <c r="G390" s="7" t="s">
        <v>566</v>
      </c>
      <c r="H390" s="26" t="s">
        <v>570</v>
      </c>
      <c r="I390" s="5" t="s">
        <v>65</v>
      </c>
    </row>
    <row r="391" spans="2:9">
      <c r="B391" s="7" t="s">
        <v>54</v>
      </c>
      <c r="C391" s="25" t="s">
        <v>141</v>
      </c>
      <c r="D391" s="25" t="s">
        <v>111</v>
      </c>
      <c r="E391" s="7" t="s">
        <v>633</v>
      </c>
      <c r="F391" s="14">
        <v>46223</v>
      </c>
      <c r="G391" s="7" t="s">
        <v>545</v>
      </c>
      <c r="H391" s="26" t="s">
        <v>572</v>
      </c>
      <c r="I391" s="5" t="s">
        <v>65</v>
      </c>
    </row>
    <row r="392" spans="2:9">
      <c r="B392" s="7" t="s">
        <v>54</v>
      </c>
      <c r="C392" s="25" t="s">
        <v>141</v>
      </c>
      <c r="D392" s="25" t="s">
        <v>111</v>
      </c>
      <c r="E392" s="7" t="s">
        <v>634</v>
      </c>
      <c r="F392" s="14">
        <v>46223</v>
      </c>
      <c r="G392" s="7" t="s">
        <v>545</v>
      </c>
      <c r="H392" s="26" t="s">
        <v>574</v>
      </c>
      <c r="I392" s="5" t="s">
        <v>65</v>
      </c>
    </row>
    <row r="393" spans="2:9">
      <c r="B393" s="7" t="s">
        <v>54</v>
      </c>
      <c r="C393" s="25" t="s">
        <v>141</v>
      </c>
      <c r="D393" s="25" t="s">
        <v>111</v>
      </c>
      <c r="E393" s="7" t="s">
        <v>635</v>
      </c>
      <c r="F393" s="14">
        <v>46223</v>
      </c>
      <c r="G393" s="7" t="s">
        <v>545</v>
      </c>
      <c r="H393" s="26" t="s">
        <v>575</v>
      </c>
      <c r="I393" s="5" t="s">
        <v>65</v>
      </c>
    </row>
    <row r="394" spans="2:9">
      <c r="B394" s="7" t="s">
        <v>54</v>
      </c>
      <c r="C394" s="25" t="s">
        <v>49</v>
      </c>
      <c r="D394" s="25" t="s">
        <v>48</v>
      </c>
      <c r="E394" s="7" t="s">
        <v>636</v>
      </c>
      <c r="F394" s="14">
        <v>46223</v>
      </c>
      <c r="G394" s="7" t="s">
        <v>566</v>
      </c>
      <c r="H394" s="26" t="s">
        <v>576</v>
      </c>
      <c r="I394" s="5" t="s">
        <v>65</v>
      </c>
    </row>
    <row r="395" spans="2:9">
      <c r="B395" s="7" t="s">
        <v>54</v>
      </c>
      <c r="C395" s="25" t="s">
        <v>49</v>
      </c>
      <c r="D395" s="25" t="s">
        <v>48</v>
      </c>
      <c r="E395" s="7" t="s">
        <v>615</v>
      </c>
      <c r="F395" s="14">
        <v>46223</v>
      </c>
      <c r="G395" s="7" t="s">
        <v>578</v>
      </c>
      <c r="H395" s="26" t="s">
        <v>577</v>
      </c>
      <c r="I395" s="5" t="s">
        <v>65</v>
      </c>
    </row>
    <row r="396" spans="2:9">
      <c r="B396" s="7" t="s">
        <v>54</v>
      </c>
      <c r="C396" s="25" t="s">
        <v>49</v>
      </c>
      <c r="D396" s="25" t="s">
        <v>48</v>
      </c>
      <c r="E396" s="7" t="s">
        <v>637</v>
      </c>
      <c r="F396" s="14">
        <v>46223</v>
      </c>
      <c r="G396" s="7" t="s">
        <v>578</v>
      </c>
      <c r="H396" s="26" t="s">
        <v>580</v>
      </c>
      <c r="I396" s="5" t="s">
        <v>65</v>
      </c>
    </row>
    <row r="397" spans="2:9">
      <c r="B397" s="7" t="s">
        <v>54</v>
      </c>
      <c r="C397" s="25" t="s">
        <v>49</v>
      </c>
      <c r="D397" s="25" t="s">
        <v>48</v>
      </c>
      <c r="E397" s="7" t="s">
        <v>638</v>
      </c>
      <c r="F397" s="14">
        <v>46223</v>
      </c>
      <c r="G397" s="7" t="s">
        <v>566</v>
      </c>
      <c r="H397" s="26" t="s">
        <v>581</v>
      </c>
      <c r="I397" s="5" t="s">
        <v>65</v>
      </c>
    </row>
    <row r="398" spans="2:9">
      <c r="B398" s="7" t="s">
        <v>54</v>
      </c>
      <c r="C398" s="25" t="s">
        <v>141</v>
      </c>
      <c r="D398" s="25" t="s">
        <v>111</v>
      </c>
      <c r="E398" s="7" t="s">
        <v>639</v>
      </c>
      <c r="F398" s="14">
        <v>46223</v>
      </c>
      <c r="G398" s="7" t="s">
        <v>545</v>
      </c>
      <c r="H398" s="26" t="s">
        <v>582</v>
      </c>
      <c r="I398" s="5" t="s">
        <v>65</v>
      </c>
    </row>
    <row r="399" spans="2:9">
      <c r="B399" s="7" t="s">
        <v>54</v>
      </c>
      <c r="C399" s="25" t="s">
        <v>141</v>
      </c>
      <c r="D399" s="25" t="s">
        <v>111</v>
      </c>
      <c r="E399" s="7" t="s">
        <v>640</v>
      </c>
      <c r="F399" s="14">
        <v>46223</v>
      </c>
      <c r="G399" s="7" t="s">
        <v>545</v>
      </c>
      <c r="H399" s="26" t="s">
        <v>583</v>
      </c>
      <c r="I399" s="5" t="s">
        <v>65</v>
      </c>
    </row>
    <row r="400" spans="2:9">
      <c r="B400" s="7" t="s">
        <v>54</v>
      </c>
      <c r="C400" s="25" t="s">
        <v>141</v>
      </c>
      <c r="D400" s="25" t="s">
        <v>111</v>
      </c>
      <c r="E400" s="7" t="s">
        <v>641</v>
      </c>
      <c r="F400" s="14">
        <v>46223</v>
      </c>
      <c r="G400" s="7" t="s">
        <v>545</v>
      </c>
      <c r="H400" s="26" t="s">
        <v>584</v>
      </c>
      <c r="I400" s="5" t="s">
        <v>65</v>
      </c>
    </row>
    <row r="401" spans="2:9">
      <c r="B401" s="7" t="s">
        <v>54</v>
      </c>
      <c r="C401" s="25" t="s">
        <v>49</v>
      </c>
      <c r="D401" s="25" t="s">
        <v>48</v>
      </c>
      <c r="E401" s="7" t="s">
        <v>478</v>
      </c>
      <c r="F401" s="14">
        <v>46223</v>
      </c>
      <c r="G401" s="7" t="s">
        <v>578</v>
      </c>
      <c r="H401" s="26" t="s">
        <v>585</v>
      </c>
      <c r="I401" s="5" t="s">
        <v>65</v>
      </c>
    </row>
    <row r="402" spans="2:9">
      <c r="B402" s="7" t="s">
        <v>54</v>
      </c>
      <c r="C402" s="25" t="s">
        <v>49</v>
      </c>
      <c r="D402" s="25" t="s">
        <v>48</v>
      </c>
      <c r="E402" s="7" t="s">
        <v>632</v>
      </c>
      <c r="F402" s="14">
        <v>46223</v>
      </c>
      <c r="G402" s="2" t="s">
        <v>578</v>
      </c>
      <c r="H402" s="26" t="s">
        <v>586</v>
      </c>
      <c r="I402" s="5" t="s">
        <v>65</v>
      </c>
    </row>
    <row r="403" spans="2:9">
      <c r="B403" s="7" t="s">
        <v>54</v>
      </c>
      <c r="C403" s="25" t="s">
        <v>49</v>
      </c>
      <c r="D403" s="25" t="s">
        <v>48</v>
      </c>
      <c r="E403" s="7" t="s">
        <v>642</v>
      </c>
      <c r="F403" s="14">
        <v>46223</v>
      </c>
      <c r="G403" s="2" t="s">
        <v>588</v>
      </c>
      <c r="H403" s="26" t="s">
        <v>587</v>
      </c>
      <c r="I403" s="5" t="s">
        <v>65</v>
      </c>
    </row>
    <row r="404" spans="2:9">
      <c r="B404" s="7" t="s">
        <v>54</v>
      </c>
      <c r="C404" s="25" t="s">
        <v>49</v>
      </c>
      <c r="D404" s="25" t="s">
        <v>48</v>
      </c>
      <c r="E404" s="7" t="s">
        <v>643</v>
      </c>
      <c r="F404" s="14">
        <v>46223</v>
      </c>
      <c r="G404" s="2" t="s">
        <v>590</v>
      </c>
      <c r="H404" s="26" t="s">
        <v>589</v>
      </c>
      <c r="I404" s="5" t="s">
        <v>65</v>
      </c>
    </row>
    <row r="405" spans="2:9">
      <c r="B405" s="7" t="s">
        <v>54</v>
      </c>
      <c r="C405" s="25" t="s">
        <v>49</v>
      </c>
      <c r="D405" s="25" t="s">
        <v>48</v>
      </c>
      <c r="E405" s="7" t="s">
        <v>644</v>
      </c>
      <c r="F405" s="14">
        <v>46223</v>
      </c>
      <c r="G405" s="2" t="s">
        <v>592</v>
      </c>
      <c r="H405" s="26" t="s">
        <v>591</v>
      </c>
      <c r="I405" s="5" t="s">
        <v>65</v>
      </c>
    </row>
    <row r="406" spans="2:9">
      <c r="B406" s="7" t="s">
        <v>54</v>
      </c>
      <c r="C406" s="25" t="s">
        <v>49</v>
      </c>
      <c r="D406" s="25" t="s">
        <v>55</v>
      </c>
      <c r="E406" s="7" t="s">
        <v>645</v>
      </c>
      <c r="F406" s="14">
        <v>46223</v>
      </c>
      <c r="G406" s="2" t="s">
        <v>549</v>
      </c>
      <c r="H406" s="26" t="s">
        <v>593</v>
      </c>
      <c r="I406" s="5" t="s">
        <v>65</v>
      </c>
    </row>
    <row r="407" spans="2:9">
      <c r="B407" s="7" t="s">
        <v>54</v>
      </c>
      <c r="C407" s="25" t="s">
        <v>141</v>
      </c>
      <c r="D407" s="25" t="s">
        <v>111</v>
      </c>
      <c r="E407" s="7" t="s">
        <v>646</v>
      </c>
      <c r="F407" s="14">
        <v>46223</v>
      </c>
      <c r="G407" s="2" t="s">
        <v>451</v>
      </c>
      <c r="H407" s="26" t="s">
        <v>594</v>
      </c>
      <c r="I407" s="5" t="s">
        <v>65</v>
      </c>
    </row>
    <row r="408" spans="2:9">
      <c r="B408" s="7" t="s">
        <v>54</v>
      </c>
      <c r="C408" s="25" t="s">
        <v>141</v>
      </c>
      <c r="D408" s="25" t="s">
        <v>111</v>
      </c>
      <c r="E408" s="7" t="s">
        <v>647</v>
      </c>
      <c r="F408" s="14">
        <v>46223</v>
      </c>
      <c r="G408" s="2" t="s">
        <v>451</v>
      </c>
      <c r="H408" s="26" t="s">
        <v>595</v>
      </c>
      <c r="I408" s="5" t="s">
        <v>65</v>
      </c>
    </row>
    <row r="409" spans="2:9">
      <c r="B409" s="7" t="s">
        <v>54</v>
      </c>
      <c r="C409" s="25" t="s">
        <v>141</v>
      </c>
      <c r="D409" s="25" t="s">
        <v>111</v>
      </c>
      <c r="E409" s="7" t="s">
        <v>648</v>
      </c>
      <c r="F409" s="14">
        <v>46223</v>
      </c>
      <c r="G409" s="2" t="s">
        <v>451</v>
      </c>
      <c r="H409" s="26" t="s">
        <v>596</v>
      </c>
      <c r="I409" s="5" t="s">
        <v>65</v>
      </c>
    </row>
    <row r="410" spans="2:9">
      <c r="B410" s="7" t="s">
        <v>54</v>
      </c>
      <c r="C410" s="25" t="s">
        <v>49</v>
      </c>
      <c r="D410" s="25" t="s">
        <v>48</v>
      </c>
      <c r="E410" s="7" t="s">
        <v>478</v>
      </c>
      <c r="F410" s="14">
        <v>46223</v>
      </c>
      <c r="G410" s="2" t="s">
        <v>590</v>
      </c>
      <c r="H410" s="26" t="s">
        <v>597</v>
      </c>
      <c r="I410" s="5" t="s">
        <v>65</v>
      </c>
    </row>
    <row r="411" spans="2:9">
      <c r="B411" s="7" t="s">
        <v>54</v>
      </c>
      <c r="C411" s="25" t="s">
        <v>49</v>
      </c>
      <c r="D411" s="25" t="s">
        <v>48</v>
      </c>
      <c r="E411" s="7" t="s">
        <v>352</v>
      </c>
      <c r="F411" s="14">
        <v>46223</v>
      </c>
      <c r="G411" s="2" t="s">
        <v>599</v>
      </c>
      <c r="H411" s="26" t="s">
        <v>598</v>
      </c>
      <c r="I411" s="5" t="s">
        <v>65</v>
      </c>
    </row>
    <row r="412" spans="2:9">
      <c r="B412" s="7" t="s">
        <v>54</v>
      </c>
      <c r="C412" s="25" t="s">
        <v>49</v>
      </c>
      <c r="D412" s="25" t="s">
        <v>48</v>
      </c>
      <c r="E412" s="7" t="s">
        <v>649</v>
      </c>
      <c r="F412" s="14">
        <v>46223</v>
      </c>
      <c r="G412" s="2" t="s">
        <v>599</v>
      </c>
      <c r="H412" s="26" t="s">
        <v>600</v>
      </c>
      <c r="I412" s="5" t="s">
        <v>65</v>
      </c>
    </row>
    <row r="413" spans="2:9">
      <c r="B413" s="7" t="s">
        <v>54</v>
      </c>
      <c r="C413" s="25" t="s">
        <v>49</v>
      </c>
      <c r="D413" s="25" t="s">
        <v>48</v>
      </c>
      <c r="E413" s="7" t="s">
        <v>650</v>
      </c>
      <c r="F413" s="14">
        <v>46223</v>
      </c>
      <c r="G413" s="2" t="s">
        <v>590</v>
      </c>
      <c r="H413" s="26" t="s">
        <v>601</v>
      </c>
      <c r="I413" s="5" t="s">
        <v>65</v>
      </c>
    </row>
    <row r="414" spans="2:9">
      <c r="B414" s="7" t="s">
        <v>54</v>
      </c>
      <c r="C414" s="25" t="s">
        <v>49</v>
      </c>
      <c r="D414" s="25" t="s">
        <v>48</v>
      </c>
      <c r="E414" s="7" t="s">
        <v>352</v>
      </c>
      <c r="F414" s="14">
        <v>46223</v>
      </c>
      <c r="G414" s="2" t="s">
        <v>599</v>
      </c>
      <c r="H414" s="26" t="s">
        <v>602</v>
      </c>
      <c r="I414" s="5" t="s">
        <v>65</v>
      </c>
    </row>
    <row r="415" spans="2:9">
      <c r="B415" s="7" t="s">
        <v>54</v>
      </c>
      <c r="C415" s="25" t="s">
        <v>141</v>
      </c>
      <c r="D415" s="25" t="s">
        <v>111</v>
      </c>
      <c r="E415" s="7" t="s">
        <v>651</v>
      </c>
      <c r="F415" s="14">
        <v>46223</v>
      </c>
      <c r="G415" s="2" t="s">
        <v>451</v>
      </c>
      <c r="H415" s="26" t="s">
        <v>603</v>
      </c>
      <c r="I415" s="5" t="s">
        <v>65</v>
      </c>
    </row>
    <row r="416" spans="2:9">
      <c r="B416" s="7" t="s">
        <v>54</v>
      </c>
      <c r="C416" s="25" t="s">
        <v>141</v>
      </c>
      <c r="D416" s="25" t="s">
        <v>111</v>
      </c>
      <c r="E416" s="7" t="s">
        <v>652</v>
      </c>
      <c r="F416" s="14">
        <v>46223</v>
      </c>
      <c r="G416" s="2" t="s">
        <v>451</v>
      </c>
      <c r="H416" s="26" t="s">
        <v>604</v>
      </c>
      <c r="I416" s="5" t="s">
        <v>65</v>
      </c>
    </row>
    <row r="417" spans="2:9">
      <c r="B417" s="7" t="s">
        <v>54</v>
      </c>
      <c r="C417" s="25" t="s">
        <v>141</v>
      </c>
      <c r="D417" s="25" t="s">
        <v>111</v>
      </c>
      <c r="E417" s="28" t="s">
        <v>653</v>
      </c>
      <c r="F417" s="14">
        <v>46223</v>
      </c>
      <c r="G417" s="26" t="s">
        <v>451</v>
      </c>
      <c r="H417" s="26" t="s">
        <v>605</v>
      </c>
      <c r="I417" s="5" t="s">
        <v>65</v>
      </c>
    </row>
    <row r="418" spans="2:9">
      <c r="B418" s="7" t="s">
        <v>54</v>
      </c>
      <c r="C418" s="25" t="s">
        <v>49</v>
      </c>
      <c r="D418" s="25" t="s">
        <v>48</v>
      </c>
      <c r="E418" s="28" t="s">
        <v>654</v>
      </c>
      <c r="F418" s="14">
        <v>46223</v>
      </c>
      <c r="G418" s="26" t="s">
        <v>607</v>
      </c>
      <c r="H418" s="26" t="s">
        <v>606</v>
      </c>
      <c r="I418" s="5" t="s">
        <v>65</v>
      </c>
    </row>
    <row r="419" spans="2:9">
      <c r="B419" s="7" t="s">
        <v>54</v>
      </c>
      <c r="C419" s="25" t="s">
        <v>49</v>
      </c>
      <c r="D419" s="25" t="s">
        <v>48</v>
      </c>
      <c r="E419" s="28" t="s">
        <v>655</v>
      </c>
      <c r="F419" s="14">
        <v>46223</v>
      </c>
      <c r="G419" s="26" t="s">
        <v>599</v>
      </c>
      <c r="H419" s="26" t="s">
        <v>608</v>
      </c>
      <c r="I419" s="5" t="s">
        <v>65</v>
      </c>
    </row>
    <row r="420" spans="2:9">
      <c r="B420" s="7" t="s">
        <v>54</v>
      </c>
      <c r="C420" s="25" t="s">
        <v>141</v>
      </c>
      <c r="D420" s="25" t="s">
        <v>111</v>
      </c>
      <c r="E420" s="28" t="s">
        <v>656</v>
      </c>
      <c r="F420" s="14">
        <v>46223</v>
      </c>
      <c r="G420" s="26" t="s">
        <v>451</v>
      </c>
      <c r="H420" s="26" t="s">
        <v>609</v>
      </c>
      <c r="I420" s="5" t="s">
        <v>65</v>
      </c>
    </row>
    <row r="421" spans="2:9">
      <c r="B421" s="7"/>
      <c r="C421" s="25"/>
      <c r="D421" s="25"/>
      <c r="E421" s="40"/>
      <c r="F421" s="14"/>
      <c r="G421" s="42"/>
      <c r="H421" s="2"/>
      <c r="I421" s="5"/>
    </row>
    <row r="422" spans="2:9">
      <c r="B422" s="7"/>
      <c r="C422" s="25"/>
      <c r="D422" s="25"/>
      <c r="E422" s="40"/>
      <c r="F422" s="14"/>
      <c r="G422" s="42"/>
      <c r="H422" s="2"/>
      <c r="I422" s="5"/>
    </row>
    <row r="423" spans="2:9">
      <c r="B423" s="7"/>
      <c r="C423" s="25"/>
      <c r="D423" s="25"/>
      <c r="E423" s="40"/>
      <c r="F423" s="14"/>
      <c r="G423" s="42"/>
      <c r="H423" s="2"/>
      <c r="I423" s="5"/>
    </row>
    <row r="424" spans="2:9">
      <c r="B424" s="7"/>
      <c r="C424" s="25"/>
      <c r="D424" s="25"/>
      <c r="E424" s="40"/>
      <c r="F424" s="14"/>
      <c r="G424" s="42"/>
      <c r="H424" s="2"/>
      <c r="I424" s="5"/>
    </row>
    <row r="425" spans="2:9">
      <c r="B425" s="7"/>
      <c r="C425" s="25"/>
      <c r="D425" s="25"/>
      <c r="E425" s="40"/>
      <c r="F425" s="14"/>
      <c r="G425" s="42"/>
      <c r="H425" s="2"/>
      <c r="I425" s="5"/>
    </row>
    <row r="426" spans="2:9">
      <c r="B426" s="7"/>
      <c r="C426" s="25"/>
      <c r="D426" s="25"/>
      <c r="E426" s="40"/>
      <c r="F426" s="14"/>
      <c r="G426" s="42"/>
      <c r="H426" s="2"/>
      <c r="I426" s="5"/>
    </row>
    <row r="427" spans="2:9">
      <c r="B427" s="7"/>
      <c r="C427" s="25"/>
      <c r="D427" s="25"/>
      <c r="E427" s="40"/>
      <c r="F427" s="14"/>
      <c r="G427" s="42"/>
      <c r="H427" s="2"/>
      <c r="I427" s="5"/>
    </row>
    <row r="428" spans="2:9">
      <c r="B428" s="7"/>
      <c r="C428" s="25"/>
      <c r="D428" s="25"/>
      <c r="E428" s="40"/>
      <c r="F428" s="14"/>
      <c r="G428" s="42"/>
      <c r="H428" s="2"/>
      <c r="I428" s="5"/>
    </row>
    <row r="429" spans="2:9">
      <c r="B429" s="7"/>
      <c r="C429" s="25"/>
      <c r="D429" s="25"/>
      <c r="E429" s="40"/>
      <c r="F429" s="14"/>
      <c r="G429" s="42"/>
      <c r="H429" s="2"/>
      <c r="I429" s="5"/>
    </row>
    <row r="430" spans="2:9">
      <c r="B430" s="7"/>
      <c r="C430" s="25"/>
      <c r="D430" s="25"/>
      <c r="E430" s="40"/>
      <c r="F430" s="14"/>
      <c r="G430" s="42"/>
      <c r="H430" s="2"/>
      <c r="I430" s="5"/>
    </row>
    <row r="431" spans="2:9">
      <c r="B431" s="7"/>
      <c r="C431" s="25"/>
      <c r="D431" s="25"/>
      <c r="E431" s="40"/>
      <c r="F431" s="14"/>
      <c r="G431" s="42"/>
      <c r="H431" s="2"/>
      <c r="I431" s="5"/>
    </row>
    <row r="432" spans="2:9">
      <c r="B432" s="7"/>
      <c r="C432" s="25"/>
      <c r="D432" s="25"/>
      <c r="E432" s="40"/>
      <c r="F432" s="14"/>
      <c r="G432" s="42"/>
      <c r="H432" s="2"/>
      <c r="I432" s="5"/>
    </row>
    <row r="433" spans="2:9">
      <c r="B433" s="7"/>
      <c r="C433" s="25"/>
      <c r="D433" s="25"/>
      <c r="E433" s="40"/>
      <c r="F433" s="14"/>
      <c r="G433" s="42"/>
      <c r="H433" s="2"/>
      <c r="I433" s="5"/>
    </row>
    <row r="434" spans="2:9">
      <c r="B434" s="7"/>
      <c r="C434" s="25"/>
      <c r="D434" s="25"/>
      <c r="E434" s="40"/>
      <c r="F434" s="14"/>
      <c r="G434" s="42"/>
      <c r="H434" s="2"/>
      <c r="I434" s="5"/>
    </row>
    <row r="435" spans="2:9">
      <c r="B435" s="7"/>
      <c r="C435" s="25"/>
      <c r="D435" s="25"/>
      <c r="E435" s="40"/>
      <c r="F435" s="14"/>
      <c r="G435" s="42"/>
      <c r="H435" s="2"/>
      <c r="I435" s="5"/>
    </row>
    <row r="436" spans="2:9">
      <c r="B436" s="7"/>
      <c r="C436" s="25"/>
      <c r="D436" s="25"/>
      <c r="E436" s="40"/>
      <c r="F436" s="14"/>
      <c r="G436" s="42"/>
      <c r="H436" s="2"/>
      <c r="I436" s="5"/>
    </row>
    <row r="437" spans="2:9">
      <c r="B437" s="7"/>
      <c r="C437" s="25"/>
      <c r="D437" s="25"/>
      <c r="E437" s="40"/>
      <c r="F437" s="14"/>
      <c r="G437" s="42"/>
      <c r="H437" s="2"/>
      <c r="I437" s="5"/>
    </row>
    <row r="438" spans="2:9">
      <c r="B438" s="7"/>
      <c r="C438" s="25"/>
      <c r="D438" s="25"/>
      <c r="E438" s="40"/>
      <c r="F438" s="14"/>
      <c r="G438" s="42"/>
      <c r="H438" s="2"/>
      <c r="I438" s="5"/>
    </row>
    <row r="439" spans="2:9">
      <c r="B439" s="7"/>
      <c r="C439" s="25"/>
      <c r="D439" s="25"/>
      <c r="E439" s="40"/>
      <c r="F439" s="14"/>
      <c r="G439" s="42"/>
      <c r="H439" s="2"/>
      <c r="I439" s="5"/>
    </row>
    <row r="440" spans="2:9">
      <c r="B440" s="7"/>
      <c r="C440" s="25"/>
      <c r="D440" s="25"/>
      <c r="E440" s="40"/>
      <c r="F440" s="14"/>
      <c r="G440" s="42"/>
      <c r="H440" s="2"/>
      <c r="I440" s="5"/>
    </row>
    <row r="441" spans="2:9">
      <c r="B441" s="7"/>
      <c r="C441" s="25"/>
      <c r="D441" s="25"/>
      <c r="E441" s="40"/>
      <c r="F441" s="14"/>
      <c r="G441" s="42"/>
      <c r="H441" s="2"/>
      <c r="I441" s="5"/>
    </row>
    <row r="442" spans="2:9">
      <c r="B442" s="7"/>
      <c r="C442" s="25"/>
      <c r="D442" s="25"/>
      <c r="E442" s="40"/>
      <c r="F442" s="14"/>
      <c r="G442" s="42"/>
      <c r="H442" s="2"/>
      <c r="I442" s="5"/>
    </row>
    <row r="443" spans="2:9">
      <c r="B443" s="7"/>
      <c r="C443" s="25"/>
      <c r="D443" s="25"/>
      <c r="E443" s="40"/>
      <c r="F443" s="14"/>
      <c r="G443" s="42"/>
      <c r="H443" s="2"/>
      <c r="I443" s="5"/>
    </row>
    <row r="444" spans="2:9">
      <c r="B444" s="7"/>
      <c r="C444" s="25"/>
      <c r="D444" s="25"/>
      <c r="E444" s="40"/>
      <c r="F444" s="14"/>
      <c r="G444" s="42"/>
      <c r="H444" s="2"/>
      <c r="I444" s="5"/>
    </row>
    <row r="445" spans="2:9">
      <c r="B445" s="7"/>
      <c r="C445" s="25"/>
      <c r="D445" s="25"/>
      <c r="E445" s="40"/>
      <c r="F445" s="14"/>
      <c r="G445" s="42"/>
      <c r="H445" s="2"/>
      <c r="I445" s="5"/>
    </row>
    <row r="446" spans="2:9">
      <c r="B446" s="7"/>
      <c r="C446" s="25"/>
      <c r="D446" s="25"/>
      <c r="E446" s="40"/>
      <c r="F446" s="14"/>
      <c r="G446" s="42"/>
      <c r="H446" s="2"/>
      <c r="I446" s="5"/>
    </row>
    <row r="447" spans="2:9">
      <c r="B447" s="7"/>
      <c r="C447" s="25"/>
      <c r="D447" s="25"/>
      <c r="E447" s="40"/>
      <c r="F447" s="14"/>
      <c r="G447" s="42"/>
      <c r="H447" s="2"/>
      <c r="I447" s="5"/>
    </row>
    <row r="448" spans="2:9">
      <c r="B448" s="7"/>
      <c r="C448" s="25"/>
      <c r="D448" s="25"/>
      <c r="E448" s="40"/>
      <c r="F448" s="14"/>
      <c r="G448" s="42"/>
      <c r="H448" s="2"/>
      <c r="I448" s="5"/>
    </row>
    <row r="449" spans="2:9">
      <c r="B449" s="7"/>
      <c r="C449" s="25"/>
      <c r="D449" s="25"/>
      <c r="E449" s="40"/>
      <c r="F449" s="14"/>
      <c r="G449" s="42"/>
      <c r="H449" s="2"/>
      <c r="I449" s="5"/>
    </row>
    <row r="450" spans="2:9">
      <c r="B450" s="7"/>
      <c r="C450" s="25"/>
      <c r="D450" s="25"/>
      <c r="E450" s="40"/>
      <c r="F450" s="14"/>
      <c r="G450" s="42"/>
      <c r="H450" s="2"/>
      <c r="I450" s="5"/>
    </row>
  </sheetData>
  <autoFilter ref="B2:I207" xr:uid="{9C7C0DAF-0B44-4C00-8224-98B72292C9A7}"/>
  <conditionalFormatting sqref="I3:I1048576">
    <cfRule type="containsText" dxfId="10" priority="28" operator="containsText" text="Pago">
      <formula>NOT(ISERROR(SEARCH("Pago",I3)))</formula>
    </cfRule>
    <cfRule type="containsText" dxfId="9" priority="29" operator="containsText" text="A Pagar">
      <formula>NOT(ISERROR(SEARCH("A Pagar",I3)))</formula>
    </cfRule>
  </conditionalFormatting>
  <conditionalFormatting sqref="H98:H112">
    <cfRule type="duplicateValues" dxfId="8" priority="12"/>
  </conditionalFormatting>
  <conditionalFormatting sqref="H9:H25">
    <cfRule type="duplicateValues" dxfId="7" priority="11"/>
  </conditionalFormatting>
  <conditionalFormatting sqref="H26:H61">
    <cfRule type="duplicateValues" dxfId="6" priority="10"/>
  </conditionalFormatting>
  <conditionalFormatting sqref="H113:H148">
    <cfRule type="duplicateValues" dxfId="5" priority="8"/>
  </conditionalFormatting>
  <conditionalFormatting sqref="H161:H196">
    <cfRule type="duplicateValues" dxfId="4" priority="7"/>
  </conditionalFormatting>
  <conditionalFormatting sqref="H208:H243">
    <cfRule type="duplicateValues" dxfId="3" priority="6"/>
  </conditionalFormatting>
  <conditionalFormatting sqref="H271:H286">
    <cfRule type="duplicateValues" dxfId="2" priority="4"/>
  </conditionalFormatting>
  <conditionalFormatting sqref="H287:H322">
    <cfRule type="duplicateValues" dxfId="1" priority="2"/>
  </conditionalFormatting>
  <conditionalFormatting sqref="H354:H389">
    <cfRule type="duplicateValues" dxfId="0" priority="1"/>
  </conditionalFormatting>
  <pageMargins left="0.511811024" right="0.511811024" top="0.78740157499999996" bottom="0.78740157499999996" header="0.31496062000000002" footer="0.31496062000000002"/>
  <pageSetup scale="62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F40BC-5E3B-4E8E-B2D3-DE22E1291657}">
  <sheetPr codeName="Planilha3">
    <pageSetUpPr fitToPage="1"/>
  </sheetPr>
  <dimension ref="B1:FQ56"/>
  <sheetViews>
    <sheetView showGridLines="0" zoomScaleNormal="100" zoomScaleSheetLayoutView="13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16" sqref="A16"/>
    </sheetView>
  </sheetViews>
  <sheetFormatPr defaultRowHeight="14.4"/>
  <cols>
    <col min="1" max="1" width="2.88671875" customWidth="1"/>
    <col min="2" max="2" width="23.33203125" style="45" bestFit="1" customWidth="1"/>
    <col min="3" max="3" width="12.5546875" style="62" bestFit="1" customWidth="1"/>
    <col min="4" max="4" width="21.5546875" style="45" bestFit="1" customWidth="1"/>
    <col min="5" max="5" width="22" style="45" bestFit="1" customWidth="1"/>
    <col min="6" max="6" width="45.109375" style="45" bestFit="1" customWidth="1"/>
    <col min="7" max="7" width="2.33203125" customWidth="1"/>
    <col min="8" max="173" width="9.109375" style="45"/>
  </cols>
  <sheetData>
    <row r="1" spans="2:7" ht="57" customHeight="1">
      <c r="B1"/>
      <c r="C1"/>
      <c r="D1"/>
      <c r="E1"/>
      <c r="F1"/>
    </row>
    <row r="2" spans="2:7">
      <c r="B2" s="67" t="s">
        <v>70</v>
      </c>
      <c r="C2" s="67"/>
      <c r="D2" s="67"/>
      <c r="E2" s="68">
        <f>SUM(F4:F100)</f>
        <v>342175.24245599814</v>
      </c>
      <c r="F2" s="67"/>
    </row>
    <row r="3" spans="2:7">
      <c r="B3" s="11" t="s">
        <v>66</v>
      </c>
      <c r="C3" s="11" t="s">
        <v>67</v>
      </c>
      <c r="D3" s="11" t="s">
        <v>68</v>
      </c>
      <c r="E3" s="11" t="s">
        <v>69</v>
      </c>
      <c r="F3" s="11" t="s">
        <v>379</v>
      </c>
      <c r="G3" s="63"/>
    </row>
    <row r="4" spans="2:7">
      <c r="B4" s="7" t="s">
        <v>62</v>
      </c>
      <c r="C4" s="14">
        <v>46134</v>
      </c>
      <c r="D4" s="8">
        <v>50000</v>
      </c>
      <c r="E4" s="13">
        <v>51490</v>
      </c>
      <c r="F4" s="8">
        <f>E4-D4</f>
        <v>1490</v>
      </c>
    </row>
    <row r="5" spans="2:7">
      <c r="B5" s="7" t="s">
        <v>62</v>
      </c>
      <c r="C5" s="14">
        <v>46154</v>
      </c>
      <c r="D5" s="8">
        <v>10000</v>
      </c>
      <c r="E5" s="13">
        <v>10298</v>
      </c>
      <c r="F5" s="8">
        <f t="shared" ref="F5:F12" si="0">E5-D5</f>
        <v>298</v>
      </c>
    </row>
    <row r="6" spans="2:7">
      <c r="B6" s="7" t="s">
        <v>62</v>
      </c>
      <c r="C6" s="14">
        <v>46155</v>
      </c>
      <c r="D6" s="8">
        <v>10000</v>
      </c>
      <c r="E6" s="13">
        <v>10298</v>
      </c>
      <c r="F6" s="8">
        <f t="shared" si="0"/>
        <v>298</v>
      </c>
    </row>
    <row r="7" spans="2:7">
      <c r="B7" s="7" t="s">
        <v>62</v>
      </c>
      <c r="C7" s="14">
        <v>46156</v>
      </c>
      <c r="D7" s="8">
        <v>10000</v>
      </c>
      <c r="E7" s="13">
        <v>10298</v>
      </c>
      <c r="F7" s="8">
        <f t="shared" si="0"/>
        <v>298</v>
      </c>
    </row>
    <row r="8" spans="2:7">
      <c r="B8" s="7" t="s">
        <v>62</v>
      </c>
      <c r="C8" s="14">
        <v>46157</v>
      </c>
      <c r="D8" s="8">
        <v>10000</v>
      </c>
      <c r="E8" s="13">
        <v>10298</v>
      </c>
      <c r="F8" s="8">
        <f t="shared" si="0"/>
        <v>298</v>
      </c>
    </row>
    <row r="9" spans="2:7">
      <c r="B9" s="7" t="s">
        <v>62</v>
      </c>
      <c r="C9" s="14">
        <v>46160</v>
      </c>
      <c r="D9" s="8">
        <v>10000</v>
      </c>
      <c r="E9" s="13">
        <v>10298</v>
      </c>
      <c r="F9" s="8">
        <f t="shared" si="0"/>
        <v>298</v>
      </c>
    </row>
    <row r="10" spans="2:7">
      <c r="B10" s="5" t="s">
        <v>143</v>
      </c>
      <c r="C10" s="6">
        <v>46169</v>
      </c>
      <c r="D10" s="8">
        <v>557621.61</v>
      </c>
      <c r="E10" s="8">
        <v>574749.34</v>
      </c>
      <c r="F10" s="8">
        <f t="shared" si="0"/>
        <v>17127.729999999981</v>
      </c>
    </row>
    <row r="11" spans="2:7">
      <c r="B11" s="5" t="s">
        <v>143</v>
      </c>
      <c r="C11" s="6">
        <v>46170</v>
      </c>
      <c r="D11" s="8">
        <v>1162829.17</v>
      </c>
      <c r="E11" s="8">
        <v>1198549.6000000001</v>
      </c>
      <c r="F11" s="8">
        <f t="shared" si="0"/>
        <v>35720.430000000168</v>
      </c>
    </row>
    <row r="12" spans="2:7">
      <c r="B12" s="5" t="s">
        <v>143</v>
      </c>
      <c r="C12" s="6">
        <v>46175</v>
      </c>
      <c r="D12" s="8">
        <v>1368779.91</v>
      </c>
      <c r="E12" s="8">
        <v>1410822.4199999997</v>
      </c>
      <c r="F12" s="8">
        <f t="shared" si="0"/>
        <v>42042.509999999776</v>
      </c>
    </row>
    <row r="13" spans="2:7">
      <c r="B13" s="5" t="s">
        <v>143</v>
      </c>
      <c r="C13" s="42">
        <v>46181</v>
      </c>
      <c r="D13" s="8">
        <v>344867.51999999996</v>
      </c>
      <c r="E13" s="8">
        <v>355460.2300000001</v>
      </c>
      <c r="F13" s="8">
        <f>IF(E13-D13=0," ",E13-D13)</f>
        <v>10592.710000000137</v>
      </c>
    </row>
    <row r="14" spans="2:7">
      <c r="B14" s="5" t="s">
        <v>143</v>
      </c>
      <c r="C14" s="42" t="s">
        <v>197</v>
      </c>
      <c r="D14" s="8">
        <v>1541158.6200000003</v>
      </c>
      <c r="E14" s="8">
        <v>1588495.8099999996</v>
      </c>
      <c r="F14" s="8">
        <f>IF(E14-D14=0," ",E14-D14)</f>
        <v>47337.189999999246</v>
      </c>
    </row>
    <row r="15" spans="2:7">
      <c r="B15" s="5" t="s">
        <v>143</v>
      </c>
      <c r="C15" s="42">
        <v>46202</v>
      </c>
      <c r="D15" s="8">
        <v>1566238.2175440004</v>
      </c>
      <c r="E15" s="8">
        <v>1614345.7199999997</v>
      </c>
      <c r="F15" s="8">
        <f t="shared" ref="F15:F56" si="1">IF(E15-D15=0," ",E15-D15)</f>
        <v>48107.502455999376</v>
      </c>
    </row>
    <row r="16" spans="2:7">
      <c r="B16" s="5" t="s">
        <v>143</v>
      </c>
      <c r="C16" s="42">
        <v>46206</v>
      </c>
      <c r="D16" s="8">
        <v>1788023.65</v>
      </c>
      <c r="E16" s="8">
        <v>1842943.6499999994</v>
      </c>
      <c r="F16" s="8">
        <f t="shared" si="1"/>
        <v>54919.999999999534</v>
      </c>
    </row>
    <row r="17" spans="2:20">
      <c r="B17" s="5" t="s">
        <v>143</v>
      </c>
      <c r="C17" s="42">
        <v>46217</v>
      </c>
      <c r="D17" s="8">
        <v>733661.81</v>
      </c>
      <c r="E17" s="8">
        <v>756196.4600000002</v>
      </c>
      <c r="F17" s="8">
        <f t="shared" si="1"/>
        <v>22534.65000000014</v>
      </c>
      <c r="T17" s="45" t="s">
        <v>291</v>
      </c>
    </row>
    <row r="18" spans="2:20">
      <c r="B18" s="5" t="s">
        <v>143</v>
      </c>
      <c r="C18" s="42">
        <v>46223</v>
      </c>
      <c r="D18" s="8">
        <v>1979876.95</v>
      </c>
      <c r="E18" s="8">
        <v>2040689.4699999997</v>
      </c>
      <c r="F18" s="8">
        <f t="shared" si="1"/>
        <v>60812.519999999786</v>
      </c>
    </row>
    <row r="19" spans="2:20">
      <c r="B19" s="5"/>
      <c r="C19" s="42"/>
      <c r="D19" s="8"/>
      <c r="E19" s="8"/>
      <c r="F19" s="8"/>
    </row>
    <row r="20" spans="2:20">
      <c r="B20" s="5"/>
      <c r="C20" s="4"/>
      <c r="D20" s="8"/>
      <c r="E20" s="8"/>
      <c r="F20" s="8" t="str">
        <f t="shared" si="1"/>
        <v xml:space="preserve"> </v>
      </c>
    </row>
    <row r="21" spans="2:20">
      <c r="B21" s="5"/>
      <c r="C21" s="4"/>
      <c r="D21" s="8"/>
      <c r="E21" s="8"/>
      <c r="F21" s="8" t="str">
        <f t="shared" si="1"/>
        <v xml:space="preserve"> </v>
      </c>
    </row>
    <row r="22" spans="2:20">
      <c r="B22" s="5"/>
      <c r="C22" s="4"/>
      <c r="D22" s="8"/>
      <c r="E22" s="8"/>
      <c r="F22" s="8" t="str">
        <f t="shared" si="1"/>
        <v xml:space="preserve"> </v>
      </c>
    </row>
    <row r="23" spans="2:20">
      <c r="B23" s="5"/>
      <c r="C23" s="4"/>
      <c r="D23" s="8"/>
      <c r="E23" s="8"/>
      <c r="F23" s="8" t="str">
        <f t="shared" si="1"/>
        <v xml:space="preserve"> </v>
      </c>
    </row>
    <row r="24" spans="2:20">
      <c r="B24" s="5"/>
      <c r="C24" s="4"/>
      <c r="D24" s="8"/>
      <c r="E24" s="8"/>
      <c r="F24" s="8" t="str">
        <f t="shared" si="1"/>
        <v xml:space="preserve"> </v>
      </c>
    </row>
    <row r="25" spans="2:20">
      <c r="B25" s="5"/>
      <c r="C25" s="4"/>
      <c r="D25" s="8"/>
      <c r="E25" s="8"/>
      <c r="F25" s="8" t="str">
        <f t="shared" si="1"/>
        <v xml:space="preserve"> </v>
      </c>
    </row>
    <row r="26" spans="2:20">
      <c r="B26" s="5"/>
      <c r="C26" s="4"/>
      <c r="D26" s="8"/>
      <c r="E26" s="8"/>
      <c r="F26" s="8" t="str">
        <f t="shared" si="1"/>
        <v xml:space="preserve"> </v>
      </c>
    </row>
    <row r="27" spans="2:20">
      <c r="B27" s="5"/>
      <c r="C27" s="4"/>
      <c r="D27" s="8"/>
      <c r="E27" s="8"/>
      <c r="F27" s="8" t="str">
        <f t="shared" si="1"/>
        <v xml:space="preserve"> </v>
      </c>
    </row>
    <row r="28" spans="2:20">
      <c r="B28" s="5"/>
      <c r="C28" s="4"/>
      <c r="D28" s="8"/>
      <c r="E28" s="8"/>
      <c r="F28" s="8" t="str">
        <f t="shared" si="1"/>
        <v xml:space="preserve"> </v>
      </c>
    </row>
    <row r="29" spans="2:20">
      <c r="B29" s="5"/>
      <c r="C29" s="4"/>
      <c r="D29" s="8"/>
      <c r="E29" s="8"/>
      <c r="F29" s="8" t="str">
        <f t="shared" si="1"/>
        <v xml:space="preserve"> </v>
      </c>
    </row>
    <row r="30" spans="2:20">
      <c r="B30" s="5"/>
      <c r="C30" s="4"/>
      <c r="D30" s="8"/>
      <c r="E30" s="8"/>
      <c r="F30" s="8" t="str">
        <f t="shared" si="1"/>
        <v xml:space="preserve"> </v>
      </c>
    </row>
    <row r="31" spans="2:20">
      <c r="B31" s="5"/>
      <c r="C31" s="4"/>
      <c r="D31" s="8"/>
      <c r="E31" s="8"/>
      <c r="F31" s="8" t="str">
        <f t="shared" si="1"/>
        <v xml:space="preserve"> </v>
      </c>
    </row>
    <row r="32" spans="2:20">
      <c r="B32" s="5"/>
      <c r="C32" s="4"/>
      <c r="D32" s="8"/>
      <c r="E32" s="8"/>
      <c r="F32" s="8" t="str">
        <f t="shared" si="1"/>
        <v xml:space="preserve"> </v>
      </c>
    </row>
    <row r="33" spans="2:6">
      <c r="B33" s="5"/>
      <c r="C33" s="4"/>
      <c r="D33" s="8"/>
      <c r="E33" s="8"/>
      <c r="F33" s="8" t="str">
        <f t="shared" si="1"/>
        <v xml:space="preserve"> </v>
      </c>
    </row>
    <row r="34" spans="2:6">
      <c r="B34" s="5"/>
      <c r="C34" s="4"/>
      <c r="D34" s="8"/>
      <c r="E34" s="8"/>
      <c r="F34" s="8" t="str">
        <f t="shared" si="1"/>
        <v xml:space="preserve"> </v>
      </c>
    </row>
    <row r="35" spans="2:6">
      <c r="B35" s="5"/>
      <c r="C35" s="4"/>
      <c r="D35" s="8"/>
      <c r="E35" s="8"/>
      <c r="F35" s="8" t="str">
        <f t="shared" si="1"/>
        <v xml:space="preserve"> </v>
      </c>
    </row>
    <row r="36" spans="2:6">
      <c r="B36" s="5"/>
      <c r="C36" s="4"/>
      <c r="D36" s="8"/>
      <c r="E36" s="8"/>
      <c r="F36" s="8" t="str">
        <f t="shared" si="1"/>
        <v xml:space="preserve"> </v>
      </c>
    </row>
    <row r="37" spans="2:6">
      <c r="B37" s="5"/>
      <c r="C37" s="4"/>
      <c r="D37" s="8"/>
      <c r="E37" s="8"/>
      <c r="F37" s="8" t="str">
        <f t="shared" si="1"/>
        <v xml:space="preserve"> </v>
      </c>
    </row>
    <row r="38" spans="2:6">
      <c r="B38" s="5"/>
      <c r="C38" s="4"/>
      <c r="D38" s="8"/>
      <c r="E38" s="8"/>
      <c r="F38" s="8" t="str">
        <f t="shared" si="1"/>
        <v xml:space="preserve"> </v>
      </c>
    </row>
    <row r="39" spans="2:6">
      <c r="B39" s="5"/>
      <c r="C39" s="4"/>
      <c r="D39" s="8"/>
      <c r="E39" s="8"/>
      <c r="F39" s="8" t="str">
        <f t="shared" si="1"/>
        <v xml:space="preserve"> </v>
      </c>
    </row>
    <row r="40" spans="2:6">
      <c r="B40" s="5"/>
      <c r="C40" s="4"/>
      <c r="D40" s="8"/>
      <c r="E40" s="8"/>
      <c r="F40" s="8" t="str">
        <f t="shared" si="1"/>
        <v xml:space="preserve"> </v>
      </c>
    </row>
    <row r="41" spans="2:6">
      <c r="B41" s="5"/>
      <c r="C41" s="4"/>
      <c r="D41" s="8"/>
      <c r="E41" s="8"/>
      <c r="F41" s="8" t="str">
        <f t="shared" si="1"/>
        <v xml:space="preserve"> </v>
      </c>
    </row>
    <row r="42" spans="2:6">
      <c r="B42" s="5"/>
      <c r="C42" s="4"/>
      <c r="D42" s="8"/>
      <c r="E42" s="8"/>
      <c r="F42" s="8" t="str">
        <f t="shared" si="1"/>
        <v xml:space="preserve"> </v>
      </c>
    </row>
    <row r="43" spans="2:6">
      <c r="B43" s="5"/>
      <c r="C43" s="4"/>
      <c r="D43" s="8"/>
      <c r="E43" s="8"/>
      <c r="F43" s="8" t="str">
        <f t="shared" si="1"/>
        <v xml:space="preserve"> </v>
      </c>
    </row>
    <row r="44" spans="2:6">
      <c r="B44" s="5"/>
      <c r="C44" s="4"/>
      <c r="D44" s="8"/>
      <c r="E44" s="8"/>
      <c r="F44" s="8" t="str">
        <f t="shared" si="1"/>
        <v xml:space="preserve"> </v>
      </c>
    </row>
    <row r="45" spans="2:6">
      <c r="B45" s="5"/>
      <c r="C45" s="4"/>
      <c r="D45" s="8"/>
      <c r="E45" s="8"/>
      <c r="F45" s="8" t="str">
        <f t="shared" si="1"/>
        <v xml:space="preserve"> </v>
      </c>
    </row>
    <row r="46" spans="2:6">
      <c r="B46" s="5"/>
      <c r="C46" s="4"/>
      <c r="D46" s="8"/>
      <c r="E46" s="8"/>
      <c r="F46" s="8" t="str">
        <f t="shared" si="1"/>
        <v xml:space="preserve"> </v>
      </c>
    </row>
    <row r="47" spans="2:6">
      <c r="B47" s="5"/>
      <c r="C47" s="4"/>
      <c r="D47" s="8"/>
      <c r="E47" s="8"/>
      <c r="F47" s="8" t="str">
        <f t="shared" si="1"/>
        <v xml:space="preserve"> </v>
      </c>
    </row>
    <row r="48" spans="2:6">
      <c r="B48" s="5"/>
      <c r="C48" s="4"/>
      <c r="D48" s="8"/>
      <c r="E48" s="8"/>
      <c r="F48" s="8" t="str">
        <f t="shared" si="1"/>
        <v xml:space="preserve"> </v>
      </c>
    </row>
    <row r="49" spans="2:6">
      <c r="B49" s="5"/>
      <c r="C49" s="4"/>
      <c r="D49" s="8"/>
      <c r="E49" s="8"/>
      <c r="F49" s="8" t="str">
        <f t="shared" si="1"/>
        <v xml:space="preserve"> </v>
      </c>
    </row>
    <row r="50" spans="2:6">
      <c r="B50" s="5"/>
      <c r="C50" s="4"/>
      <c r="D50" s="8"/>
      <c r="E50" s="8"/>
      <c r="F50" s="8" t="str">
        <f t="shared" si="1"/>
        <v xml:space="preserve"> </v>
      </c>
    </row>
    <row r="51" spans="2:6">
      <c r="B51" s="5"/>
      <c r="C51" s="4"/>
      <c r="D51" s="8"/>
      <c r="E51" s="8"/>
      <c r="F51" s="8" t="str">
        <f t="shared" si="1"/>
        <v xml:space="preserve"> </v>
      </c>
    </row>
    <row r="52" spans="2:6">
      <c r="B52" s="5"/>
      <c r="C52" s="4"/>
      <c r="D52" s="8"/>
      <c r="E52" s="8"/>
      <c r="F52" s="8" t="str">
        <f t="shared" si="1"/>
        <v xml:space="preserve"> </v>
      </c>
    </row>
    <row r="53" spans="2:6">
      <c r="B53" s="5"/>
      <c r="C53" s="4"/>
      <c r="D53" s="8"/>
      <c r="E53" s="8"/>
      <c r="F53" s="8" t="str">
        <f t="shared" si="1"/>
        <v xml:space="preserve"> </v>
      </c>
    </row>
    <row r="54" spans="2:6">
      <c r="B54" s="5"/>
      <c r="C54" s="4"/>
      <c r="D54" s="8"/>
      <c r="E54" s="8"/>
      <c r="F54" s="8" t="str">
        <f t="shared" si="1"/>
        <v xml:space="preserve"> </v>
      </c>
    </row>
    <row r="55" spans="2:6">
      <c r="B55" s="5"/>
      <c r="C55" s="4"/>
      <c r="D55" s="8"/>
      <c r="E55" s="8"/>
      <c r="F55" s="8" t="str">
        <f t="shared" si="1"/>
        <v xml:space="preserve"> </v>
      </c>
    </row>
    <row r="56" spans="2:6">
      <c r="B56" s="5"/>
      <c r="C56" s="4"/>
      <c r="D56" s="8"/>
      <c r="E56" s="8"/>
      <c r="F56" s="8" t="str">
        <f t="shared" si="1"/>
        <v xml:space="preserve"> </v>
      </c>
    </row>
  </sheetData>
  <mergeCells count="2">
    <mergeCell ref="B2:D2"/>
    <mergeCell ref="E2:F2"/>
  </mergeCells>
  <pageMargins left="0.25" right="0.25" top="0.75" bottom="0.75" header="0.3" footer="0.3"/>
  <pageSetup scale="78" fitToHeight="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C46B-B96C-4956-9D49-BFFE202F083E}">
  <sheetPr codeName="Planilha1"/>
  <dimension ref="A1:C39"/>
  <sheetViews>
    <sheetView workbookViewId="0">
      <selection activeCell="E1" sqref="E1"/>
    </sheetView>
  </sheetViews>
  <sheetFormatPr defaultRowHeight="14.4"/>
  <cols>
    <col min="1" max="1" width="14.33203125" bestFit="1" customWidth="1"/>
    <col min="2" max="2" width="16.5546875" bestFit="1" customWidth="1"/>
    <col min="3" max="3" width="9.109375" style="37"/>
  </cols>
  <sheetData>
    <row r="1" spans="1:3">
      <c r="A1" s="24"/>
      <c r="C1"/>
    </row>
    <row r="2" spans="1:3">
      <c r="A2" s="9"/>
      <c r="B2" s="9"/>
      <c r="C2"/>
    </row>
    <row r="3" spans="1:3">
      <c r="A3" s="9"/>
      <c r="B3" s="39"/>
      <c r="C3" s="38"/>
    </row>
    <row r="4" spans="1:3">
      <c r="A4" s="9"/>
      <c r="B4" s="39"/>
    </row>
    <row r="5" spans="1:3">
      <c r="A5" s="9"/>
      <c r="B5" s="39"/>
    </row>
    <row r="6" spans="1:3">
      <c r="A6" s="9"/>
      <c r="B6" s="39"/>
    </row>
    <row r="7" spans="1:3">
      <c r="A7" s="9"/>
      <c r="B7" s="39"/>
    </row>
    <row r="8" spans="1:3">
      <c r="A8" s="9"/>
      <c r="B8" s="39"/>
    </row>
    <row r="9" spans="1:3">
      <c r="A9" s="9"/>
      <c r="B9" s="39"/>
    </row>
    <row r="10" spans="1:3">
      <c r="A10" s="9"/>
      <c r="B10" s="39"/>
    </row>
    <row r="11" spans="1:3">
      <c r="A11" s="9"/>
      <c r="B11" s="39"/>
    </row>
    <row r="12" spans="1:3">
      <c r="A12" s="9"/>
      <c r="B12" s="39"/>
    </row>
    <row r="13" spans="1:3">
      <c r="A13" s="9"/>
      <c r="B13" s="39"/>
    </row>
    <row r="14" spans="1:3">
      <c r="A14" s="9"/>
      <c r="B14" s="39"/>
    </row>
    <row r="15" spans="1:3">
      <c r="A15" s="9"/>
      <c r="B15" s="39"/>
    </row>
    <row r="16" spans="1:3">
      <c r="A16" s="9"/>
      <c r="B16" s="39"/>
    </row>
    <row r="17" spans="1:2">
      <c r="A17" s="9"/>
      <c r="B17" s="39"/>
    </row>
    <row r="18" spans="1:2">
      <c r="A18" s="9"/>
      <c r="B18" s="39"/>
    </row>
    <row r="19" spans="1:2">
      <c r="A19" s="9"/>
      <c r="B19" s="39"/>
    </row>
    <row r="20" spans="1:2">
      <c r="A20" s="9"/>
      <c r="B20" s="39"/>
    </row>
    <row r="21" spans="1:2">
      <c r="A21" s="9"/>
      <c r="B21" s="39"/>
    </row>
    <row r="22" spans="1:2">
      <c r="A22" s="9"/>
      <c r="B22" s="39"/>
    </row>
    <row r="23" spans="1:2">
      <c r="A23" s="9"/>
      <c r="B23" s="39"/>
    </row>
    <row r="24" spans="1:2">
      <c r="A24" s="9"/>
      <c r="B24" s="39"/>
    </row>
    <row r="25" spans="1:2">
      <c r="A25" s="9"/>
      <c r="B25" s="39"/>
    </row>
    <row r="26" spans="1:2">
      <c r="A26" s="9"/>
      <c r="B26" s="39"/>
    </row>
    <row r="27" spans="1:2">
      <c r="A27" s="9"/>
      <c r="B27" s="39"/>
    </row>
    <row r="28" spans="1:2">
      <c r="A28" s="9"/>
      <c r="B28" s="39"/>
    </row>
    <row r="29" spans="1:2">
      <c r="A29" s="9"/>
      <c r="B29" s="39"/>
    </row>
    <row r="30" spans="1:2">
      <c r="A30" s="9"/>
      <c r="B30" s="39"/>
    </row>
    <row r="31" spans="1:2">
      <c r="A31" s="9"/>
      <c r="B31" s="39"/>
    </row>
    <row r="32" spans="1:2">
      <c r="A32" s="9"/>
      <c r="B32" s="39"/>
    </row>
    <row r="33" spans="1:2">
      <c r="A33" s="9"/>
      <c r="B33" s="39"/>
    </row>
    <row r="34" spans="1:2">
      <c r="A34" s="9"/>
      <c r="B34" s="39"/>
    </row>
    <row r="35" spans="1:2">
      <c r="A35" s="9"/>
      <c r="B35" s="39"/>
    </row>
    <row r="36" spans="1:2">
      <c r="A36" s="9"/>
      <c r="B36" s="39"/>
    </row>
    <row r="37" spans="1:2">
      <c r="A37" s="9"/>
      <c r="B37" s="39"/>
    </row>
    <row r="38" spans="1:2">
      <c r="A38" s="9"/>
      <c r="B38" s="39"/>
    </row>
    <row r="39" spans="1:2">
      <c r="A39" s="9"/>
      <c r="B39" s="9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MENU</vt:lpstr>
      <vt:lpstr>Plan5</vt:lpstr>
      <vt:lpstr>BASE</vt:lpstr>
      <vt:lpstr>ATIVOS</vt:lpstr>
      <vt:lpstr>DESPESA FINANCEIRA</vt:lpstr>
      <vt:lpstr>CODIGO</vt:lpstr>
      <vt:lpstr>ATIVOS!Area_de_impressao</vt:lpstr>
      <vt:lpstr>'DESPESA FINANCEIRA'!Area_de_impressao</vt:lpstr>
      <vt:lpstr>CDO</vt:lpstr>
      <vt:lpstr>DTL</vt:lpstr>
      <vt:lpstr>OCORRENCIA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Popperl</dc:creator>
  <cp:lastModifiedBy>Carlos Eduardo França Ribeiro</cp:lastModifiedBy>
  <cp:lastPrinted>2026-06-26T20:38:59Z</cp:lastPrinted>
  <dcterms:created xsi:type="dcterms:W3CDTF">2012-05-02T19:47:34Z</dcterms:created>
  <dcterms:modified xsi:type="dcterms:W3CDTF">2026-08-31T16:35:27Z</dcterms:modified>
</cp:coreProperties>
</file>